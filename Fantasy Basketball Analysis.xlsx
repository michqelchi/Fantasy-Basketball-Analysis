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Users/michaelchi/Documents/"/>
    </mc:Choice>
  </mc:AlternateContent>
  <xr:revisionPtr revIDLastSave="0" documentId="8_{AF278B3E-284B-0B44-AA86-C6B96A5F8A83}" xr6:coauthVersionLast="47" xr6:coauthVersionMax="47" xr10:uidLastSave="{00000000-0000-0000-0000-000000000000}"/>
  <bookViews>
    <workbookView xWindow="0" yWindow="760" windowWidth="34200" windowHeight="21380" xr2:uid="{668ACD84-85E0-DA47-ADFD-53F6507F94A7}"/>
  </bookViews>
  <sheets>
    <sheet name="Top 50" sheetId="2" r:id="rId1"/>
    <sheet name="full_rankings" sheetId="1" r:id="rId2"/>
    <sheet name="legend" sheetId="4" r:id="rId3"/>
  </sheets>
  <definedNames>
    <definedName name="_xlchart.v1.0" hidden="1">full_rankings!$A$2:$B$151</definedName>
    <definedName name="_xlchart.v1.1" hidden="1">full_rankings!$C$2:$C$151</definedName>
    <definedName name="_xlchart.v1.10" hidden="1">full_rankings!$F$2:$F$151</definedName>
    <definedName name="_xlchart.v1.11" hidden="1">full_rankings!$G$2:$G$151</definedName>
    <definedName name="_xlchart.v1.2" hidden="1">full_rankings!$D$2:$D$151</definedName>
    <definedName name="_xlchart.v1.3" hidden="1">full_rankings!$E$2:$E$151</definedName>
    <definedName name="_xlchart.v1.4" hidden="1">full_rankings!$F$2:$F$151</definedName>
    <definedName name="_xlchart.v1.5" hidden="1">full_rankings!$G$2:$G$151</definedName>
    <definedName name="_xlchart.v1.6" hidden="1">full_rankings!$A$2:$B$151</definedName>
    <definedName name="_xlchart.v1.7" hidden="1">full_rankings!$C$2:$C$151</definedName>
    <definedName name="_xlchart.v1.8" hidden="1">full_rankings!$D$2:$D$151</definedName>
    <definedName name="_xlchart.v1.9" hidden="1">full_rankings!$E$2:$E$151</definedName>
    <definedName name="Slicer_pos">#N/A</definedName>
  </definedNames>
  <calcPr calcId="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5:slicerCaches>
    </ext>
  </extLst>
</workbook>
</file>

<file path=xl/calcChain.xml><?xml version="1.0" encoding="utf-8"?>
<calcChain xmlns="http://schemas.openxmlformats.org/spreadsheetml/2006/main">
  <c r="G2" i="1" l="1"/>
  <c r="G2" i="2" s="1"/>
  <c r="G3" i="1"/>
  <c r="G3" i="2" s="1"/>
  <c r="G4" i="1"/>
  <c r="G4" i="2" s="1"/>
  <c r="G5" i="1"/>
  <c r="G5" i="2" s="1"/>
  <c r="G6" i="1"/>
  <c r="G6" i="2" s="1"/>
  <c r="G7" i="1"/>
  <c r="G7" i="2" s="1"/>
  <c r="G8" i="1"/>
  <c r="G8" i="2" s="1"/>
  <c r="G9" i="1"/>
  <c r="G9" i="2" s="1"/>
  <c r="G10" i="1"/>
  <c r="G10" i="2" s="1"/>
  <c r="G11" i="1"/>
  <c r="G11" i="2" s="1"/>
  <c r="G12" i="1"/>
  <c r="G12" i="2" s="1"/>
  <c r="G13" i="1"/>
  <c r="G13" i="2" s="1"/>
  <c r="G14" i="1"/>
  <c r="G14" i="2" s="1"/>
  <c r="G15" i="1"/>
  <c r="G15" i="2" s="1"/>
  <c r="G16" i="1"/>
  <c r="G16" i="2" s="1"/>
  <c r="G17" i="1"/>
  <c r="G17" i="2" s="1"/>
  <c r="G18" i="1"/>
  <c r="G18" i="2" s="1"/>
  <c r="G19" i="1"/>
  <c r="G19" i="2" s="1"/>
  <c r="G20" i="1"/>
  <c r="G20" i="2" s="1"/>
  <c r="G21" i="1"/>
  <c r="G21" i="2" s="1"/>
  <c r="G22" i="1"/>
  <c r="G22" i="2" s="1"/>
  <c r="G23" i="1"/>
  <c r="G23" i="2" s="1"/>
  <c r="G24" i="1"/>
  <c r="G24" i="2" s="1"/>
  <c r="G25" i="1"/>
  <c r="G25" i="2" s="1"/>
  <c r="G26" i="1"/>
  <c r="G26" i="2" s="1"/>
  <c r="G27" i="1"/>
  <c r="G27" i="2" s="1"/>
  <c r="G28" i="1"/>
  <c r="G28" i="2" s="1"/>
  <c r="G29" i="1"/>
  <c r="G29" i="2" s="1"/>
  <c r="G30" i="1"/>
  <c r="G30" i="2" s="1"/>
  <c r="G31" i="1"/>
  <c r="G31" i="2" s="1"/>
  <c r="G32" i="1"/>
  <c r="G32" i="2" s="1"/>
  <c r="G33" i="1"/>
  <c r="G33" i="2" s="1"/>
  <c r="G34" i="1"/>
  <c r="G34" i="2" s="1"/>
  <c r="G35" i="1"/>
  <c r="G35" i="2" s="1"/>
  <c r="G36" i="1"/>
  <c r="G36" i="2" s="1"/>
  <c r="G37" i="1"/>
  <c r="G37" i="2" s="1"/>
  <c r="G38" i="1"/>
  <c r="G38" i="2" s="1"/>
  <c r="G39" i="1"/>
  <c r="G39" i="2" s="1"/>
  <c r="G40" i="1"/>
  <c r="G40" i="2" s="1"/>
  <c r="G41" i="1"/>
  <c r="G41" i="2" s="1"/>
  <c r="G42" i="1"/>
  <c r="G42" i="2" s="1"/>
  <c r="G43" i="1"/>
  <c r="G43" i="2" s="1"/>
  <c r="G44" i="1"/>
  <c r="G44" i="2" s="1"/>
  <c r="G45" i="1"/>
  <c r="G45" i="2" s="1"/>
  <c r="G46" i="1"/>
  <c r="G46" i="2" s="1"/>
  <c r="G47" i="1"/>
  <c r="G47" i="2" s="1"/>
  <c r="G48" i="1"/>
  <c r="G48" i="2" s="1"/>
  <c r="G49" i="1"/>
  <c r="G49" i="2" s="1"/>
  <c r="G50" i="1"/>
  <c r="G50" i="2" s="1"/>
  <c r="G51" i="1"/>
  <c r="G51" i="2" s="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alcChain>
</file>

<file path=xl/sharedStrings.xml><?xml version="1.0" encoding="utf-8"?>
<sst xmlns="http://schemas.openxmlformats.org/spreadsheetml/2006/main" count="422" uniqueCount="178">
  <si>
    <t>player</t>
  </si>
  <si>
    <t>pos</t>
  </si>
  <si>
    <t>adp</t>
  </si>
  <si>
    <t>avg_expert_rank</t>
  </si>
  <si>
    <t>rank_std_dev</t>
  </si>
  <si>
    <t>value</t>
  </si>
  <si>
    <t>Zach Edey</t>
  </si>
  <si>
    <t>C</t>
  </si>
  <si>
    <t>Jalen Suggs</t>
  </si>
  <si>
    <t>PG, SG</t>
  </si>
  <si>
    <t>Jaren Jackson Jr.</t>
  </si>
  <si>
    <t>C, PF</t>
  </si>
  <si>
    <t>Trey Murphy III</t>
  </si>
  <si>
    <t>SF, SG</t>
  </si>
  <si>
    <t>Brandon Miller</t>
  </si>
  <si>
    <t>Ryan Rollins</t>
  </si>
  <si>
    <t>SG, PG</t>
  </si>
  <si>
    <t>Keyonte George</t>
  </si>
  <si>
    <t>Donovan Clingan</t>
  </si>
  <si>
    <t>Onyeka Okongwu</t>
  </si>
  <si>
    <t>Cedric Coward</t>
  </si>
  <si>
    <t>Dejounte Murray</t>
  </si>
  <si>
    <t>Nic Claxton</t>
  </si>
  <si>
    <t>Immanuel Quickley</t>
  </si>
  <si>
    <t>Kel'el Ware</t>
  </si>
  <si>
    <t>Isaiah Hartenstein</t>
  </si>
  <si>
    <t>RJ Barrett</t>
  </si>
  <si>
    <t>Matas Buzelis</t>
  </si>
  <si>
    <t>SF, PF</t>
  </si>
  <si>
    <t>Derik Queen</t>
  </si>
  <si>
    <t>Franz Wagner</t>
  </si>
  <si>
    <t>Walker Kessler</t>
  </si>
  <si>
    <t>Jabari Smith Jr.</t>
  </si>
  <si>
    <t>PF, C</t>
  </si>
  <si>
    <t>Cameron Boozer</t>
  </si>
  <si>
    <t>PF</t>
  </si>
  <si>
    <t>Coby White</t>
  </si>
  <si>
    <t>Alex Sarr</t>
  </si>
  <si>
    <t>Payton Pritchard</t>
  </si>
  <si>
    <t>Ivica Zubac</t>
  </si>
  <si>
    <t>Paul George</t>
  </si>
  <si>
    <t>Keegan Murray</t>
  </si>
  <si>
    <t>PF, SF</t>
  </si>
  <si>
    <t>Brandon Ingram</t>
  </si>
  <si>
    <t>Chet Holmgren</t>
  </si>
  <si>
    <t>Peyton Watson</t>
  </si>
  <si>
    <t>Lauri Markkanen</t>
  </si>
  <si>
    <t>Paolo Banchero</t>
  </si>
  <si>
    <t>Neemias Queta</t>
  </si>
  <si>
    <t>Tyler Herro</t>
  </si>
  <si>
    <t>Julius Randle</t>
  </si>
  <si>
    <t>Jalen Green</t>
  </si>
  <si>
    <t>SG, SF</t>
  </si>
  <si>
    <t>Zach LaVine</t>
  </si>
  <si>
    <t>Jamal Murray</t>
  </si>
  <si>
    <t>PG</t>
  </si>
  <si>
    <t>Myles Turner</t>
  </si>
  <si>
    <t>Quentin Grimes</t>
  </si>
  <si>
    <t>Alperen Sengun</t>
  </si>
  <si>
    <t>VJ Edgecombe</t>
  </si>
  <si>
    <t>SG</t>
  </si>
  <si>
    <t>Andrew Wiggins</t>
  </si>
  <si>
    <t>Jaden McDaniels</t>
  </si>
  <si>
    <t>Kyshawn George</t>
  </si>
  <si>
    <t>Jakob Poeltl</t>
  </si>
  <si>
    <t>Evan Mobley</t>
  </si>
  <si>
    <t>Ausar Thompson</t>
  </si>
  <si>
    <t>Damian Lillard</t>
  </si>
  <si>
    <t>Stephon Castle</t>
  </si>
  <si>
    <t>CJ McCollum</t>
  </si>
  <si>
    <t>Josh Giddey</t>
  </si>
  <si>
    <t>Austin Reaves</t>
  </si>
  <si>
    <t>Rudy Gobert</t>
  </si>
  <si>
    <t>Jaime Jaquez Jr.</t>
  </si>
  <si>
    <t>Darryn Peterson</t>
  </si>
  <si>
    <t>Norman Powell</t>
  </si>
  <si>
    <t>Naz Reid</t>
  </si>
  <si>
    <t>Deni Avdija</t>
  </si>
  <si>
    <t>Zion Williamson</t>
  </si>
  <si>
    <t>Anthony Davis</t>
  </si>
  <si>
    <t>Caleb Wilson</t>
  </si>
  <si>
    <t>SF</t>
  </si>
  <si>
    <t>Ja Morant</t>
  </si>
  <si>
    <t>Bam Adebayo</t>
  </si>
  <si>
    <t>Jrue Holiday</t>
  </si>
  <si>
    <t>Jalen Johnson</t>
  </si>
  <si>
    <t>Egor Demin</t>
  </si>
  <si>
    <t>Darius Garland</t>
  </si>
  <si>
    <t>Josh Hart</t>
  </si>
  <si>
    <t>Andrew Nembhard</t>
  </si>
  <si>
    <t>Miles Bridges</t>
  </si>
  <si>
    <t>Jalen Duren</t>
  </si>
  <si>
    <t>Tyrese Haliburton</t>
  </si>
  <si>
    <t>Scottie Barnes</t>
  </si>
  <si>
    <t>Jayson Tatum</t>
  </si>
  <si>
    <t>Trae Young</t>
  </si>
  <si>
    <t>Ty Jerome</t>
  </si>
  <si>
    <t>Desmond Bane</t>
  </si>
  <si>
    <t>Donovan Mitchell</t>
  </si>
  <si>
    <t>Dyson Daniels</t>
  </si>
  <si>
    <t>Nickeil Alexander-Walker</t>
  </si>
  <si>
    <t>Luka Doncic</t>
  </si>
  <si>
    <t>Tyrese Maxey</t>
  </si>
  <si>
    <t>Cade Cunningham</t>
  </si>
  <si>
    <t>Kyrie Irving</t>
  </si>
  <si>
    <t>Cooper Flagg</t>
  </si>
  <si>
    <t>Karl-Anthony Towns</t>
  </si>
  <si>
    <t>Kevin Durant</t>
  </si>
  <si>
    <t>LaMelo Ball</t>
  </si>
  <si>
    <t>Nikola Jokic</t>
  </si>
  <si>
    <t>Giannis Antetokounmpo</t>
  </si>
  <si>
    <t>John Collins</t>
  </si>
  <si>
    <t>Jarrett Allen</t>
  </si>
  <si>
    <t>Victor Wembanyama</t>
  </si>
  <si>
    <t>OG Anunoby</t>
  </si>
  <si>
    <t>Dylan Harper</t>
  </si>
  <si>
    <t>James Harden</t>
  </si>
  <si>
    <t>Brandin Podziemski</t>
  </si>
  <si>
    <t>Shai Gilgeous-Alexander</t>
  </si>
  <si>
    <t>Ayo Dosunmu</t>
  </si>
  <si>
    <t>LeBron James</t>
  </si>
  <si>
    <t>Stephen Curry</t>
  </si>
  <si>
    <t>Dillon Brooks</t>
  </si>
  <si>
    <t>Anthony Edwards</t>
  </si>
  <si>
    <t>Kawhi Leonard</t>
  </si>
  <si>
    <t>Darius Acuff Jr.</t>
  </si>
  <si>
    <t>Anthony Black</t>
  </si>
  <si>
    <t>Jeremiah Fears</t>
  </si>
  <si>
    <t>Fred VanVleet</t>
  </si>
  <si>
    <t>Joel Embiid</t>
  </si>
  <si>
    <t>Jalen Williams</t>
  </si>
  <si>
    <t>Kristaps Porzingis</t>
  </si>
  <si>
    <t>Devin Booker</t>
  </si>
  <si>
    <t>Derrick White</t>
  </si>
  <si>
    <t>Kon Knueppel</t>
  </si>
  <si>
    <t>Collin Gillespie</t>
  </si>
  <si>
    <t>Pascal Siakam</t>
  </si>
  <si>
    <t>Devin Vassell</t>
  </si>
  <si>
    <t>Aaron Gordon</t>
  </si>
  <si>
    <t>Jalen Brunson</t>
  </si>
  <si>
    <t>Amen Thompson</t>
  </si>
  <si>
    <t>Michael Porter Jr.</t>
  </si>
  <si>
    <t>Jaylen Brown</t>
  </si>
  <si>
    <t>De'Aaron Fox</t>
  </si>
  <si>
    <t>Domantas Sabonis</t>
  </si>
  <si>
    <t>AJ Dybantsa</t>
  </si>
  <si>
    <t>Draymond Green</t>
  </si>
  <si>
    <t>Jimmy Butler III</t>
  </si>
  <si>
    <t>Daniel Gafford</t>
  </si>
  <si>
    <t>Kevin Porter Jr.</t>
  </si>
  <si>
    <t>Ace Bailey</t>
  </si>
  <si>
    <t>Christian Braun</t>
  </si>
  <si>
    <t>Tobias Harris</t>
  </si>
  <si>
    <t>Yaxel Lendeborg</t>
  </si>
  <si>
    <t>Jonathan Kuminga</t>
  </si>
  <si>
    <t>Reed Sheppard</t>
  </si>
  <si>
    <t>Mark Williams</t>
  </si>
  <si>
    <t>Mikal Bridges</t>
  </si>
  <si>
    <t>Malik Monk</t>
  </si>
  <si>
    <t>Mitchell Robinson</t>
  </si>
  <si>
    <t>DeMar DeRozan</t>
  </si>
  <si>
    <t>Collin Sexton</t>
  </si>
  <si>
    <t>Julian Champagnie</t>
  </si>
  <si>
    <t>Anfernee Simons</t>
  </si>
  <si>
    <t>Jordan Poole</t>
  </si>
  <si>
    <t>Nikola Vucevic</t>
  </si>
  <si>
    <t>Oso Ighodaro</t>
  </si>
  <si>
    <t>T.J. McConnell</t>
  </si>
  <si>
    <t>Klay Thompson</t>
  </si>
  <si>
    <t>adjusted value</t>
  </si>
  <si>
    <t>ADP is the average draft position of each player in ESPN points formats (as of 9/23/26)</t>
  </si>
  <si>
    <t>AVG_EXPERT_RANK is the average rank of each player across the five different expert boards used for the analysis.</t>
  </si>
  <si>
    <t xml:space="preserve"> If a player was not listed on one expert's board, it was not factored against them in the average ranking.</t>
  </si>
  <si>
    <t xml:space="preserve">RANK_STD_DEV is the standard deviation of each player's ranking across the five expert boards. </t>
  </si>
  <si>
    <t>A lower standard deviation means the experts were generally in agreement on where to place the player, while a higher standard deviation indicates opinions varied more on the value of the player.</t>
  </si>
  <si>
    <t>Value is calculated by subtracting a player's ADP from their AVG_EXPERT_RANK. Essentially it tells us where how much higher/lower the experts think a player should go compared to their current draft range.</t>
  </si>
  <si>
    <t>Adjusted value is calculated by diving VALUE and RANK_STD_DEV (or 1 if sd is 0).</t>
  </si>
  <si>
    <t xml:space="preserve"> It is the complete value score, accounting for a player being inflated/deflated by outlier rankings and highlighting those who have an expert consensus on their ranking.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</si>
</sst>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4"/>
      <color theme="1"/>
      <name val="Aptos Narrow"/>
      <scheme val="minor"/>
    </font>
    <font>
      <sz val="14"/>
      <color theme="1"/>
      <name val="Aptos Narrow"/>
      <scheme val="minor"/>
    </font>
    <font>
      <b/>
      <sz val="16"/>
      <color theme="1"/>
      <name val="Aptos Narrow"/>
      <scheme val="minor"/>
    </font>
    <font>
      <sz val="16"/>
      <color theme="1"/>
      <name val="Aptos Narrow"/>
      <scheme val="minor"/>
    </font>
    <font>
      <sz val="16"/>
      <color theme="1"/>
      <name val="Aptos Narrow"/>
      <family val="2"/>
      <scheme val="minor"/>
    </font>
    <font>
      <sz val="2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font>
        <strike val="0"/>
        <outline val="0"/>
        <shadow val="0"/>
        <u val="none"/>
        <vertAlign val="baseline"/>
        <sz val="16"/>
        <color theme="1"/>
        <name val="Aptos Narrow"/>
        <family val="2"/>
        <scheme val="minor"/>
      </font>
    </dxf>
    <dxf>
      <font>
        <strike val="0"/>
        <outline val="0"/>
        <shadow val="0"/>
        <u val="none"/>
        <vertAlign val="baseline"/>
        <sz val="14"/>
        <color theme="1"/>
        <name val="Aptos Narrow"/>
        <scheme val="minor"/>
      </font>
    </dxf>
    <dxf>
      <font>
        <strike val="0"/>
        <outline val="0"/>
        <shadow val="0"/>
        <u val="none"/>
        <vertAlign val="baseline"/>
        <sz val="14"/>
        <color theme="1"/>
        <name val="Aptos Narrow"/>
        <scheme val="minor"/>
      </font>
    </dxf>
    <dxf>
      <font>
        <strike val="0"/>
        <outline val="0"/>
        <shadow val="0"/>
        <u val="none"/>
        <vertAlign val="baseline"/>
        <sz val="14"/>
        <color theme="1"/>
        <name val="Aptos Narrow"/>
        <scheme val="minor"/>
      </font>
    </dxf>
    <dxf>
      <font>
        <strike val="0"/>
        <outline val="0"/>
        <shadow val="0"/>
        <u val="none"/>
        <vertAlign val="baseline"/>
        <sz val="14"/>
        <color theme="1"/>
        <name val="Aptos Narrow"/>
        <scheme val="minor"/>
      </font>
    </dxf>
    <dxf>
      <font>
        <strike val="0"/>
        <outline val="0"/>
        <shadow val="0"/>
        <u val="none"/>
        <vertAlign val="baseline"/>
        <sz val="14"/>
        <color theme="1"/>
        <name val="Aptos Narrow"/>
        <scheme val="minor"/>
      </font>
    </dxf>
    <dxf>
      <font>
        <strike val="0"/>
        <outline val="0"/>
        <shadow val="0"/>
        <u val="none"/>
        <vertAlign val="baseline"/>
        <sz val="14"/>
        <color theme="1"/>
        <name val="Aptos Narrow"/>
        <scheme val="minor"/>
      </font>
    </dxf>
    <dxf>
      <font>
        <strike val="0"/>
        <outline val="0"/>
        <shadow val="0"/>
        <u val="none"/>
        <vertAlign val="baseline"/>
        <sz val="14"/>
        <color theme="1"/>
        <name val="Aptos Narrow"/>
        <scheme val="minor"/>
      </font>
    </dxf>
    <dxf>
      <font>
        <b/>
        <strike val="0"/>
        <outline val="0"/>
        <shadow val="0"/>
        <u val="none"/>
        <vertAlign val="baseline"/>
        <sz val="14"/>
        <color theme="1"/>
        <name val="Aptos Narrow"/>
        <scheme val="minor"/>
      </font>
    </dxf>
    <dxf>
      <font>
        <strike val="0"/>
        <outline val="0"/>
        <shadow val="0"/>
        <u val="none"/>
        <vertAlign val="baseline"/>
        <sz val="16"/>
        <color theme="1"/>
        <name val="Aptos Narrow"/>
        <scheme val="minor"/>
      </font>
    </dxf>
    <dxf>
      <font>
        <strike val="0"/>
        <outline val="0"/>
        <shadow val="0"/>
        <u val="none"/>
        <vertAlign val="baseline"/>
        <sz val="16"/>
        <color theme="1"/>
        <name val="Aptos Narrow"/>
        <scheme val="minor"/>
      </font>
      <numFmt numFmtId="0" formatCode="General"/>
    </dxf>
    <dxf>
      <font>
        <strike val="0"/>
        <outline val="0"/>
        <shadow val="0"/>
        <u val="none"/>
        <vertAlign val="baseline"/>
        <sz val="16"/>
        <color theme="1"/>
        <name val="Aptos Narrow"/>
        <scheme val="minor"/>
      </font>
    </dxf>
    <dxf>
      <font>
        <strike val="0"/>
        <outline val="0"/>
        <shadow val="0"/>
        <u val="none"/>
        <vertAlign val="baseline"/>
        <sz val="16"/>
        <color theme="1"/>
        <name val="Aptos Narrow"/>
        <scheme val="minor"/>
      </font>
    </dxf>
    <dxf>
      <font>
        <strike val="0"/>
        <outline val="0"/>
        <shadow val="0"/>
        <u val="none"/>
        <vertAlign val="baseline"/>
        <sz val="16"/>
        <color theme="1"/>
        <name val="Aptos Narrow"/>
        <scheme val="minor"/>
      </font>
    </dxf>
    <dxf>
      <font>
        <strike val="0"/>
        <outline val="0"/>
        <shadow val="0"/>
        <u val="none"/>
        <vertAlign val="baseline"/>
        <sz val="16"/>
        <color theme="1"/>
        <name val="Aptos Narrow"/>
        <scheme val="minor"/>
      </font>
    </dxf>
    <dxf>
      <font>
        <strike val="0"/>
        <outline val="0"/>
        <shadow val="0"/>
        <u val="none"/>
        <vertAlign val="baseline"/>
        <sz val="16"/>
        <color theme="1"/>
        <name val="Aptos Narrow"/>
        <scheme val="minor"/>
      </font>
    </dxf>
    <dxf>
      <font>
        <strike val="0"/>
        <outline val="0"/>
        <shadow val="0"/>
        <u val="none"/>
        <vertAlign val="baseline"/>
        <sz val="16"/>
        <color theme="1"/>
        <name val="Aptos Narrow"/>
        <scheme val="minor"/>
      </font>
    </dxf>
    <dxf>
      <font>
        <b/>
        <strike val="0"/>
        <outline val="0"/>
        <shadow val="0"/>
        <u val="none"/>
        <vertAlign val="baseline"/>
        <sz val="16"/>
        <color theme="1"/>
        <name val="Aptos Narrow"/>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200" b="0" i="0" u="none" strike="noStrike" kern="1200" spc="0" baseline="0">
                <a:solidFill>
                  <a:schemeClr val="tx1">
                    <a:lumMod val="65000"/>
                    <a:lumOff val="35000"/>
                  </a:schemeClr>
                </a:solidFill>
                <a:latin typeface="+mn-lt"/>
                <a:ea typeface="+mn-ea"/>
                <a:cs typeface="+mn-cs"/>
              </a:defRPr>
            </a:pPr>
            <a:r>
              <a:rPr lang="en-US" sz="3200" b="1"/>
              <a:t>Value vs. Standard Deviation of Top 50</a:t>
            </a:r>
          </a:p>
        </c:rich>
      </c:tx>
      <c:overlay val="0"/>
      <c:spPr>
        <a:noFill/>
        <a:ln>
          <a:noFill/>
        </a:ln>
        <a:effectLst/>
      </c:spPr>
      <c:txPr>
        <a:bodyPr rot="0" spcFirstLastPara="1" vertOverflow="ellipsis" vert="horz" wrap="square" anchor="ctr" anchorCtr="1"/>
        <a:lstStyle/>
        <a:p>
          <a:pPr>
            <a:defRPr sz="3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1.7201944889587456E-2"/>
          <c:y val="6.143230741558868E-2"/>
          <c:w val="0.9125611964455983"/>
          <c:h val="0.85614903807127207"/>
        </c:manualLayout>
      </c:layout>
      <c:scatterChart>
        <c:scatterStyle val="lineMarker"/>
        <c:varyColors val="0"/>
        <c:ser>
          <c:idx val="0"/>
          <c:order val="0"/>
          <c:tx>
            <c:v>Value vs. Standard Deviation of Top 50</c:v>
          </c:tx>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7BF2A3D2-A56A-C949-AEB9-2008DD503CA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CC6-1B48-A1FD-45E25B27C59D}"/>
                </c:ext>
              </c:extLst>
            </c:dLbl>
            <c:dLbl>
              <c:idx val="1"/>
              <c:tx>
                <c:rich>
                  <a:bodyPr/>
                  <a:lstStyle/>
                  <a:p>
                    <a:fld id="{D95E48B7-8C8A-D84D-BB1D-A6FBEE42F17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CC6-1B48-A1FD-45E25B27C59D}"/>
                </c:ext>
              </c:extLst>
            </c:dLbl>
            <c:dLbl>
              <c:idx val="2"/>
              <c:tx>
                <c:rich>
                  <a:bodyPr/>
                  <a:lstStyle/>
                  <a:p>
                    <a:fld id="{73F20567-A5E1-3C41-9EF1-8A072F80F41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CC6-1B48-A1FD-45E25B27C59D}"/>
                </c:ext>
              </c:extLst>
            </c:dLbl>
            <c:dLbl>
              <c:idx val="3"/>
              <c:tx>
                <c:rich>
                  <a:bodyPr/>
                  <a:lstStyle/>
                  <a:p>
                    <a:fld id="{C137F35F-22AF-8349-936D-33EA23B3F5F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CC6-1B48-A1FD-45E25B27C59D}"/>
                </c:ext>
              </c:extLst>
            </c:dLbl>
            <c:dLbl>
              <c:idx val="4"/>
              <c:tx>
                <c:rich>
                  <a:bodyPr/>
                  <a:lstStyle/>
                  <a:p>
                    <a:fld id="{BB034B91-9814-CD46-BFF7-6ADEB320690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CC6-1B48-A1FD-45E25B27C59D}"/>
                </c:ext>
              </c:extLst>
            </c:dLbl>
            <c:dLbl>
              <c:idx val="5"/>
              <c:tx>
                <c:rich>
                  <a:bodyPr/>
                  <a:lstStyle/>
                  <a:p>
                    <a:fld id="{85C14ACC-B3FF-DE4C-890F-6147FFA9883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CC6-1B48-A1FD-45E25B27C59D}"/>
                </c:ext>
              </c:extLst>
            </c:dLbl>
            <c:dLbl>
              <c:idx val="6"/>
              <c:tx>
                <c:rich>
                  <a:bodyPr/>
                  <a:lstStyle/>
                  <a:p>
                    <a:fld id="{387C79D2-A4A9-384C-AD31-A7F27B1B300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CC6-1B48-A1FD-45E25B27C59D}"/>
                </c:ext>
              </c:extLst>
            </c:dLbl>
            <c:dLbl>
              <c:idx val="7"/>
              <c:tx>
                <c:rich>
                  <a:bodyPr/>
                  <a:lstStyle/>
                  <a:p>
                    <a:fld id="{3F79DA8C-7B89-D642-A9CD-5A0A2F2555B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8CC6-1B48-A1FD-45E25B27C59D}"/>
                </c:ext>
              </c:extLst>
            </c:dLbl>
            <c:dLbl>
              <c:idx val="8"/>
              <c:tx>
                <c:rich>
                  <a:bodyPr/>
                  <a:lstStyle/>
                  <a:p>
                    <a:fld id="{3426CFDD-B777-234F-9C48-13A8C03D0B3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8CC6-1B48-A1FD-45E25B27C59D}"/>
                </c:ext>
              </c:extLst>
            </c:dLbl>
            <c:dLbl>
              <c:idx val="9"/>
              <c:tx>
                <c:rich>
                  <a:bodyPr/>
                  <a:lstStyle/>
                  <a:p>
                    <a:fld id="{4373ABD1-EEA4-E845-96C2-ED5E5E05184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8CC6-1B48-A1FD-45E25B27C59D}"/>
                </c:ext>
              </c:extLst>
            </c:dLbl>
            <c:dLbl>
              <c:idx val="10"/>
              <c:tx>
                <c:rich>
                  <a:bodyPr/>
                  <a:lstStyle/>
                  <a:p>
                    <a:fld id="{383CD858-6244-2844-A38E-C9FAC4013A7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8CC6-1B48-A1FD-45E25B27C59D}"/>
                </c:ext>
              </c:extLst>
            </c:dLbl>
            <c:dLbl>
              <c:idx val="11"/>
              <c:tx>
                <c:rich>
                  <a:bodyPr/>
                  <a:lstStyle/>
                  <a:p>
                    <a:fld id="{FE5CFB72-0ABD-964A-8290-AB98E2501F4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8CC6-1B48-A1FD-45E25B27C59D}"/>
                </c:ext>
              </c:extLst>
            </c:dLbl>
            <c:dLbl>
              <c:idx val="12"/>
              <c:tx>
                <c:rich>
                  <a:bodyPr/>
                  <a:lstStyle/>
                  <a:p>
                    <a:fld id="{49678170-BD55-A442-9001-63817FBC2DE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8CC6-1B48-A1FD-45E25B27C59D}"/>
                </c:ext>
              </c:extLst>
            </c:dLbl>
            <c:dLbl>
              <c:idx val="13"/>
              <c:tx>
                <c:rich>
                  <a:bodyPr/>
                  <a:lstStyle/>
                  <a:p>
                    <a:fld id="{C56CB3B7-218D-104C-AC8D-C050C44E2CC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8CC6-1B48-A1FD-45E25B27C59D}"/>
                </c:ext>
              </c:extLst>
            </c:dLbl>
            <c:dLbl>
              <c:idx val="14"/>
              <c:tx>
                <c:rich>
                  <a:bodyPr/>
                  <a:lstStyle/>
                  <a:p>
                    <a:fld id="{21DDD129-9F11-F94A-B1C4-D9D45F180BA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8CC6-1B48-A1FD-45E25B27C59D}"/>
                </c:ext>
              </c:extLst>
            </c:dLbl>
            <c:dLbl>
              <c:idx val="15"/>
              <c:tx>
                <c:rich>
                  <a:bodyPr/>
                  <a:lstStyle/>
                  <a:p>
                    <a:fld id="{7D877AD8-4286-6840-9809-0780A0700C4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8CC6-1B48-A1FD-45E25B27C59D}"/>
                </c:ext>
              </c:extLst>
            </c:dLbl>
            <c:dLbl>
              <c:idx val="16"/>
              <c:tx>
                <c:rich>
                  <a:bodyPr/>
                  <a:lstStyle/>
                  <a:p>
                    <a:fld id="{F16B4B5D-EE13-8B47-BC9F-7EB659FBF78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8CC6-1B48-A1FD-45E25B27C59D}"/>
                </c:ext>
              </c:extLst>
            </c:dLbl>
            <c:dLbl>
              <c:idx val="17"/>
              <c:tx>
                <c:rich>
                  <a:bodyPr/>
                  <a:lstStyle/>
                  <a:p>
                    <a:fld id="{BF3A3C0D-FD46-2F41-B602-9F1091A54E9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8CC6-1B48-A1FD-45E25B27C59D}"/>
                </c:ext>
              </c:extLst>
            </c:dLbl>
            <c:dLbl>
              <c:idx val="18"/>
              <c:tx>
                <c:rich>
                  <a:bodyPr/>
                  <a:lstStyle/>
                  <a:p>
                    <a:fld id="{81F83099-4119-9F45-8A16-27F14263759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8CC6-1B48-A1FD-45E25B27C59D}"/>
                </c:ext>
              </c:extLst>
            </c:dLbl>
            <c:dLbl>
              <c:idx val="19"/>
              <c:tx>
                <c:rich>
                  <a:bodyPr/>
                  <a:lstStyle/>
                  <a:p>
                    <a:fld id="{1B5769BA-BFDF-D14B-A5C4-0CBB65F0A65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8CC6-1B48-A1FD-45E25B27C59D}"/>
                </c:ext>
              </c:extLst>
            </c:dLbl>
            <c:dLbl>
              <c:idx val="20"/>
              <c:tx>
                <c:rich>
                  <a:bodyPr/>
                  <a:lstStyle/>
                  <a:p>
                    <a:fld id="{992340A9-9BF2-1A41-997F-D35F09180E2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8CC6-1B48-A1FD-45E25B27C59D}"/>
                </c:ext>
              </c:extLst>
            </c:dLbl>
            <c:dLbl>
              <c:idx val="21"/>
              <c:tx>
                <c:rich>
                  <a:bodyPr/>
                  <a:lstStyle/>
                  <a:p>
                    <a:fld id="{C7A5D60D-088F-C940-AD29-7F59447F96E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8CC6-1B48-A1FD-45E25B27C59D}"/>
                </c:ext>
              </c:extLst>
            </c:dLbl>
            <c:dLbl>
              <c:idx val="22"/>
              <c:tx>
                <c:rich>
                  <a:bodyPr/>
                  <a:lstStyle/>
                  <a:p>
                    <a:fld id="{4C523443-B69C-A748-BC5B-46727D93073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8CC6-1B48-A1FD-45E25B27C59D}"/>
                </c:ext>
              </c:extLst>
            </c:dLbl>
            <c:dLbl>
              <c:idx val="23"/>
              <c:tx>
                <c:rich>
                  <a:bodyPr/>
                  <a:lstStyle/>
                  <a:p>
                    <a:fld id="{921B32B8-A678-DA41-88D5-8B919C95D69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8CC6-1B48-A1FD-45E25B27C59D}"/>
                </c:ext>
              </c:extLst>
            </c:dLbl>
            <c:dLbl>
              <c:idx val="24"/>
              <c:tx>
                <c:rich>
                  <a:bodyPr/>
                  <a:lstStyle/>
                  <a:p>
                    <a:fld id="{523ED371-F5F2-F043-A2D5-98582327528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8CC6-1B48-A1FD-45E25B27C59D}"/>
                </c:ext>
              </c:extLst>
            </c:dLbl>
            <c:dLbl>
              <c:idx val="25"/>
              <c:tx>
                <c:rich>
                  <a:bodyPr/>
                  <a:lstStyle/>
                  <a:p>
                    <a:fld id="{35C10278-B22D-244B-B16D-B47DBD5BA48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8CC6-1B48-A1FD-45E25B27C59D}"/>
                </c:ext>
              </c:extLst>
            </c:dLbl>
            <c:dLbl>
              <c:idx val="26"/>
              <c:tx>
                <c:rich>
                  <a:bodyPr/>
                  <a:lstStyle/>
                  <a:p>
                    <a:fld id="{1B2512B3-F1B4-C545-8D26-94F21E956F6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8CC6-1B48-A1FD-45E25B27C59D}"/>
                </c:ext>
              </c:extLst>
            </c:dLbl>
            <c:dLbl>
              <c:idx val="27"/>
              <c:tx>
                <c:rich>
                  <a:bodyPr/>
                  <a:lstStyle/>
                  <a:p>
                    <a:fld id="{6198BAA4-7C3D-B745-955A-79AE0360F55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8CC6-1B48-A1FD-45E25B27C59D}"/>
                </c:ext>
              </c:extLst>
            </c:dLbl>
            <c:dLbl>
              <c:idx val="28"/>
              <c:tx>
                <c:rich>
                  <a:bodyPr/>
                  <a:lstStyle/>
                  <a:p>
                    <a:fld id="{6E09679E-F52A-FA4D-B0D9-50DB635DA72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8CC6-1B48-A1FD-45E25B27C59D}"/>
                </c:ext>
              </c:extLst>
            </c:dLbl>
            <c:dLbl>
              <c:idx val="29"/>
              <c:tx>
                <c:rich>
                  <a:bodyPr/>
                  <a:lstStyle/>
                  <a:p>
                    <a:fld id="{03904378-C301-D346-B474-CB238F90748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8CC6-1B48-A1FD-45E25B27C59D}"/>
                </c:ext>
              </c:extLst>
            </c:dLbl>
            <c:dLbl>
              <c:idx val="30"/>
              <c:tx>
                <c:rich>
                  <a:bodyPr/>
                  <a:lstStyle/>
                  <a:p>
                    <a:fld id="{08FD0600-6054-0841-8EB7-0A9A07F6345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8CC6-1B48-A1FD-45E25B27C59D}"/>
                </c:ext>
              </c:extLst>
            </c:dLbl>
            <c:dLbl>
              <c:idx val="31"/>
              <c:tx>
                <c:rich>
                  <a:bodyPr/>
                  <a:lstStyle/>
                  <a:p>
                    <a:fld id="{12CAB8F0-97B8-0F4D-A1D5-936A45FA87B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8CC6-1B48-A1FD-45E25B27C59D}"/>
                </c:ext>
              </c:extLst>
            </c:dLbl>
            <c:dLbl>
              <c:idx val="32"/>
              <c:tx>
                <c:rich>
                  <a:bodyPr/>
                  <a:lstStyle/>
                  <a:p>
                    <a:fld id="{7BFD6FCC-A757-E143-ABC7-93CF3F83CF5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8CC6-1B48-A1FD-45E25B27C59D}"/>
                </c:ext>
              </c:extLst>
            </c:dLbl>
            <c:dLbl>
              <c:idx val="33"/>
              <c:tx>
                <c:rich>
                  <a:bodyPr/>
                  <a:lstStyle/>
                  <a:p>
                    <a:fld id="{943E213F-369B-C14E-9615-F3389C6C9DB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8CC6-1B48-A1FD-45E25B27C59D}"/>
                </c:ext>
              </c:extLst>
            </c:dLbl>
            <c:dLbl>
              <c:idx val="34"/>
              <c:tx>
                <c:rich>
                  <a:bodyPr/>
                  <a:lstStyle/>
                  <a:p>
                    <a:fld id="{99632504-7EDC-B24F-A733-038838A7BE3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8CC6-1B48-A1FD-45E25B27C59D}"/>
                </c:ext>
              </c:extLst>
            </c:dLbl>
            <c:dLbl>
              <c:idx val="35"/>
              <c:tx>
                <c:rich>
                  <a:bodyPr/>
                  <a:lstStyle/>
                  <a:p>
                    <a:fld id="{91D48153-A79C-8441-93DB-EACBC04BD8E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8CC6-1B48-A1FD-45E25B27C59D}"/>
                </c:ext>
              </c:extLst>
            </c:dLbl>
            <c:dLbl>
              <c:idx val="36"/>
              <c:tx>
                <c:rich>
                  <a:bodyPr/>
                  <a:lstStyle/>
                  <a:p>
                    <a:fld id="{FEE2649B-A8E0-4649-B974-7EEC7E316D5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8CC6-1B48-A1FD-45E25B27C59D}"/>
                </c:ext>
              </c:extLst>
            </c:dLbl>
            <c:dLbl>
              <c:idx val="37"/>
              <c:tx>
                <c:rich>
                  <a:bodyPr/>
                  <a:lstStyle/>
                  <a:p>
                    <a:fld id="{859D5CB0-69EB-CE40-8747-C2404502083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8CC6-1B48-A1FD-45E25B27C59D}"/>
                </c:ext>
              </c:extLst>
            </c:dLbl>
            <c:dLbl>
              <c:idx val="38"/>
              <c:tx>
                <c:rich>
                  <a:bodyPr/>
                  <a:lstStyle/>
                  <a:p>
                    <a:fld id="{225F1E84-4432-CA4D-883B-F15E62645BA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8CC6-1B48-A1FD-45E25B27C59D}"/>
                </c:ext>
              </c:extLst>
            </c:dLbl>
            <c:dLbl>
              <c:idx val="39"/>
              <c:tx>
                <c:rich>
                  <a:bodyPr/>
                  <a:lstStyle/>
                  <a:p>
                    <a:fld id="{71C0F550-7061-CA4D-94DC-74CC3AD91BC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8CC6-1B48-A1FD-45E25B27C59D}"/>
                </c:ext>
              </c:extLst>
            </c:dLbl>
            <c:dLbl>
              <c:idx val="40"/>
              <c:tx>
                <c:rich>
                  <a:bodyPr/>
                  <a:lstStyle/>
                  <a:p>
                    <a:fld id="{38B85C14-F1C3-9748-8FC4-A16BE588471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8CC6-1B48-A1FD-45E25B27C59D}"/>
                </c:ext>
              </c:extLst>
            </c:dLbl>
            <c:dLbl>
              <c:idx val="41"/>
              <c:tx>
                <c:rich>
                  <a:bodyPr/>
                  <a:lstStyle/>
                  <a:p>
                    <a:fld id="{8EBE7787-531E-DB40-A1FB-941255733D5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8CC6-1B48-A1FD-45E25B27C59D}"/>
                </c:ext>
              </c:extLst>
            </c:dLbl>
            <c:dLbl>
              <c:idx val="42"/>
              <c:tx>
                <c:rich>
                  <a:bodyPr/>
                  <a:lstStyle/>
                  <a:p>
                    <a:fld id="{8FBEBD74-560A-5743-892A-552B4BCCF4F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8CC6-1B48-A1FD-45E25B27C59D}"/>
                </c:ext>
              </c:extLst>
            </c:dLbl>
            <c:dLbl>
              <c:idx val="43"/>
              <c:tx>
                <c:rich>
                  <a:bodyPr/>
                  <a:lstStyle/>
                  <a:p>
                    <a:fld id="{69A98267-4277-3C41-9A24-9EA6ACDECCE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8CC6-1B48-A1FD-45E25B27C59D}"/>
                </c:ext>
              </c:extLst>
            </c:dLbl>
            <c:dLbl>
              <c:idx val="44"/>
              <c:tx>
                <c:rich>
                  <a:bodyPr/>
                  <a:lstStyle/>
                  <a:p>
                    <a:fld id="{82D06F0E-9EDF-6A44-85AA-DB9A0981B9A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8CC6-1B48-A1FD-45E25B27C59D}"/>
                </c:ext>
              </c:extLst>
            </c:dLbl>
            <c:dLbl>
              <c:idx val="45"/>
              <c:tx>
                <c:rich>
                  <a:bodyPr/>
                  <a:lstStyle/>
                  <a:p>
                    <a:fld id="{166553A7-48A7-7648-90DA-8376B1C3257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8CC6-1B48-A1FD-45E25B27C59D}"/>
                </c:ext>
              </c:extLst>
            </c:dLbl>
            <c:dLbl>
              <c:idx val="46"/>
              <c:tx>
                <c:rich>
                  <a:bodyPr/>
                  <a:lstStyle/>
                  <a:p>
                    <a:fld id="{7D07326B-3D1F-924C-AACE-38721184483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8CC6-1B48-A1FD-45E25B27C59D}"/>
                </c:ext>
              </c:extLst>
            </c:dLbl>
            <c:dLbl>
              <c:idx val="47"/>
              <c:tx>
                <c:rich>
                  <a:bodyPr/>
                  <a:lstStyle/>
                  <a:p>
                    <a:fld id="{D5F81CB4-D453-6247-962A-5F98EDE8A07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8CC6-1B48-A1FD-45E25B27C59D}"/>
                </c:ext>
              </c:extLst>
            </c:dLbl>
            <c:dLbl>
              <c:idx val="48"/>
              <c:tx>
                <c:rich>
                  <a:bodyPr/>
                  <a:lstStyle/>
                  <a:p>
                    <a:fld id="{46EFAED1-6A43-4947-864C-6DC266CAD1A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8CC6-1B48-A1FD-45E25B27C59D}"/>
                </c:ext>
              </c:extLst>
            </c:dLbl>
            <c:dLbl>
              <c:idx val="49"/>
              <c:tx>
                <c:rich>
                  <a:bodyPr/>
                  <a:lstStyle/>
                  <a:p>
                    <a:fld id="{EA4A35BC-6699-2E4A-8347-4E5B9665E52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8CC6-1B48-A1FD-45E25B27C5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'Top 50'!$E$2:$E$51</c:f>
              <c:numCache>
                <c:formatCode>General</c:formatCode>
                <c:ptCount val="50"/>
                <c:pt idx="0">
                  <c:v>4.72</c:v>
                </c:pt>
                <c:pt idx="1">
                  <c:v>6.74</c:v>
                </c:pt>
                <c:pt idx="2">
                  <c:v>5.56</c:v>
                </c:pt>
                <c:pt idx="3">
                  <c:v>1.02</c:v>
                </c:pt>
                <c:pt idx="4">
                  <c:v>7.52</c:v>
                </c:pt>
                <c:pt idx="5">
                  <c:v>7.29</c:v>
                </c:pt>
                <c:pt idx="6">
                  <c:v>8.11</c:v>
                </c:pt>
                <c:pt idx="7">
                  <c:v>6.71</c:v>
                </c:pt>
                <c:pt idx="8">
                  <c:v>9.0500000000000007</c:v>
                </c:pt>
                <c:pt idx="9">
                  <c:v>11.02</c:v>
                </c:pt>
                <c:pt idx="10">
                  <c:v>6.28</c:v>
                </c:pt>
                <c:pt idx="11">
                  <c:v>6.42</c:v>
                </c:pt>
                <c:pt idx="12">
                  <c:v>7</c:v>
                </c:pt>
                <c:pt idx="13">
                  <c:v>11.23</c:v>
                </c:pt>
                <c:pt idx="14">
                  <c:v>5.95</c:v>
                </c:pt>
                <c:pt idx="15">
                  <c:v>7.98</c:v>
                </c:pt>
                <c:pt idx="16">
                  <c:v>4.76</c:v>
                </c:pt>
                <c:pt idx="17">
                  <c:v>13.66</c:v>
                </c:pt>
                <c:pt idx="18">
                  <c:v>6.45</c:v>
                </c:pt>
                <c:pt idx="19">
                  <c:v>2.86</c:v>
                </c:pt>
                <c:pt idx="20">
                  <c:v>10.96</c:v>
                </c:pt>
                <c:pt idx="21">
                  <c:v>1.02</c:v>
                </c:pt>
                <c:pt idx="22">
                  <c:v>5.19</c:v>
                </c:pt>
                <c:pt idx="23">
                  <c:v>5.19</c:v>
                </c:pt>
                <c:pt idx="24">
                  <c:v>13.59</c:v>
                </c:pt>
                <c:pt idx="25">
                  <c:v>11.75</c:v>
                </c:pt>
                <c:pt idx="26">
                  <c:v>12.98</c:v>
                </c:pt>
                <c:pt idx="27">
                  <c:v>10.51</c:v>
                </c:pt>
                <c:pt idx="28">
                  <c:v>11.23</c:v>
                </c:pt>
                <c:pt idx="29">
                  <c:v>11.72</c:v>
                </c:pt>
                <c:pt idx="30">
                  <c:v>10.68</c:v>
                </c:pt>
                <c:pt idx="31">
                  <c:v>4.53</c:v>
                </c:pt>
                <c:pt idx="32">
                  <c:v>11.08</c:v>
                </c:pt>
                <c:pt idx="33">
                  <c:v>3.01</c:v>
                </c:pt>
                <c:pt idx="34">
                  <c:v>8.2899999999999991</c:v>
                </c:pt>
                <c:pt idx="35">
                  <c:v>24.18</c:v>
                </c:pt>
                <c:pt idx="36">
                  <c:v>7.69</c:v>
                </c:pt>
                <c:pt idx="37">
                  <c:v>27.98</c:v>
                </c:pt>
                <c:pt idx="38">
                  <c:v>7.78</c:v>
                </c:pt>
                <c:pt idx="39">
                  <c:v>0.49</c:v>
                </c:pt>
                <c:pt idx="40">
                  <c:v>14.8</c:v>
                </c:pt>
                <c:pt idx="41">
                  <c:v>5.98</c:v>
                </c:pt>
                <c:pt idx="42">
                  <c:v>7.96</c:v>
                </c:pt>
                <c:pt idx="43">
                  <c:v>10.61</c:v>
                </c:pt>
                <c:pt idx="44">
                  <c:v>10.31</c:v>
                </c:pt>
                <c:pt idx="45">
                  <c:v>6.02</c:v>
                </c:pt>
                <c:pt idx="46">
                  <c:v>7.14</c:v>
                </c:pt>
                <c:pt idx="47">
                  <c:v>11.31</c:v>
                </c:pt>
                <c:pt idx="48">
                  <c:v>17.45</c:v>
                </c:pt>
                <c:pt idx="49">
                  <c:v>24.6</c:v>
                </c:pt>
              </c:numCache>
            </c:numRef>
          </c:xVal>
          <c:yVal>
            <c:numRef>
              <c:f>'Top 50'!$F$2:$F$51</c:f>
              <c:numCache>
                <c:formatCode>General</c:formatCode>
                <c:ptCount val="50"/>
                <c:pt idx="0">
                  <c:v>27.3</c:v>
                </c:pt>
                <c:pt idx="1">
                  <c:v>32.4</c:v>
                </c:pt>
                <c:pt idx="2">
                  <c:v>22.9</c:v>
                </c:pt>
                <c:pt idx="3">
                  <c:v>4.0999999999999996</c:v>
                </c:pt>
                <c:pt idx="4">
                  <c:v>27.5</c:v>
                </c:pt>
                <c:pt idx="5">
                  <c:v>25.7</c:v>
                </c:pt>
                <c:pt idx="6">
                  <c:v>27.1</c:v>
                </c:pt>
                <c:pt idx="7">
                  <c:v>22.4</c:v>
                </c:pt>
                <c:pt idx="8">
                  <c:v>29</c:v>
                </c:pt>
                <c:pt idx="9">
                  <c:v>33.799999999999997</c:v>
                </c:pt>
                <c:pt idx="10">
                  <c:v>18.600000000000001</c:v>
                </c:pt>
                <c:pt idx="11">
                  <c:v>18.8</c:v>
                </c:pt>
                <c:pt idx="12">
                  <c:v>19.399999999999999</c:v>
                </c:pt>
                <c:pt idx="13">
                  <c:v>31.1</c:v>
                </c:pt>
                <c:pt idx="14">
                  <c:v>15.7</c:v>
                </c:pt>
                <c:pt idx="15">
                  <c:v>20.7</c:v>
                </c:pt>
                <c:pt idx="16">
                  <c:v>12.2</c:v>
                </c:pt>
                <c:pt idx="17">
                  <c:v>34.200000000000003</c:v>
                </c:pt>
                <c:pt idx="18">
                  <c:v>15.2</c:v>
                </c:pt>
                <c:pt idx="19">
                  <c:v>6.7</c:v>
                </c:pt>
                <c:pt idx="20">
                  <c:v>25.5</c:v>
                </c:pt>
                <c:pt idx="21">
                  <c:v>2.2999999999999998</c:v>
                </c:pt>
                <c:pt idx="22">
                  <c:v>11.4</c:v>
                </c:pt>
                <c:pt idx="23">
                  <c:v>11</c:v>
                </c:pt>
                <c:pt idx="24">
                  <c:v>28.4</c:v>
                </c:pt>
                <c:pt idx="25">
                  <c:v>23.7</c:v>
                </c:pt>
                <c:pt idx="26">
                  <c:v>23.6</c:v>
                </c:pt>
                <c:pt idx="27">
                  <c:v>19.100000000000001</c:v>
                </c:pt>
                <c:pt idx="28">
                  <c:v>19</c:v>
                </c:pt>
                <c:pt idx="29">
                  <c:v>19.5</c:v>
                </c:pt>
                <c:pt idx="30">
                  <c:v>17.5</c:v>
                </c:pt>
                <c:pt idx="31">
                  <c:v>7.3</c:v>
                </c:pt>
                <c:pt idx="32">
                  <c:v>17.399999999999999</c:v>
                </c:pt>
                <c:pt idx="33">
                  <c:v>4.5</c:v>
                </c:pt>
                <c:pt idx="34">
                  <c:v>12</c:v>
                </c:pt>
                <c:pt idx="35">
                  <c:v>34.299999999999997</c:v>
                </c:pt>
                <c:pt idx="36">
                  <c:v>10.1</c:v>
                </c:pt>
                <c:pt idx="37">
                  <c:v>36.6</c:v>
                </c:pt>
                <c:pt idx="38">
                  <c:v>9.6</c:v>
                </c:pt>
                <c:pt idx="39">
                  <c:v>1.2</c:v>
                </c:pt>
                <c:pt idx="40">
                  <c:v>17.600000000000001</c:v>
                </c:pt>
                <c:pt idx="41">
                  <c:v>7.1</c:v>
                </c:pt>
                <c:pt idx="42">
                  <c:v>9.3000000000000007</c:v>
                </c:pt>
                <c:pt idx="43">
                  <c:v>11.8</c:v>
                </c:pt>
                <c:pt idx="44">
                  <c:v>10.9</c:v>
                </c:pt>
                <c:pt idx="45">
                  <c:v>6.3</c:v>
                </c:pt>
                <c:pt idx="46">
                  <c:v>7.3</c:v>
                </c:pt>
                <c:pt idx="47">
                  <c:v>11.4</c:v>
                </c:pt>
                <c:pt idx="48">
                  <c:v>17.100000000000001</c:v>
                </c:pt>
                <c:pt idx="49">
                  <c:v>23.5</c:v>
                </c:pt>
              </c:numCache>
            </c:numRef>
          </c:yVal>
          <c:smooth val="0"/>
          <c:extLst>
            <c:ext xmlns:c15="http://schemas.microsoft.com/office/drawing/2012/chart" uri="{02D57815-91ED-43cb-92C2-25804820EDAC}">
              <c15:datalabelsRange>
                <c15:f>'Top 50'!$A$2:$A$51</c15:f>
                <c15:dlblRangeCache>
                  <c:ptCount val="50"/>
                  <c:pt idx="0">
                    <c:v>Cedric Coward</c:v>
                  </c:pt>
                  <c:pt idx="1">
                    <c:v>Brandon Miller</c:v>
                  </c:pt>
                  <c:pt idx="2">
                    <c:v>Matas Buzelis</c:v>
                  </c:pt>
                  <c:pt idx="3">
                    <c:v>Jalen Johnson</c:v>
                  </c:pt>
                  <c:pt idx="4">
                    <c:v>Onyeka Okongwu</c:v>
                  </c:pt>
                  <c:pt idx="5">
                    <c:v>Nic Claxton</c:v>
                  </c:pt>
                  <c:pt idx="6">
                    <c:v>Dejounte Murray</c:v>
                  </c:pt>
                  <c:pt idx="7">
                    <c:v>Derik Queen</c:v>
                  </c:pt>
                  <c:pt idx="8">
                    <c:v>Keyonte George</c:v>
                  </c:pt>
                  <c:pt idx="9">
                    <c:v>Trey Murphy III</c:v>
                  </c:pt>
                  <c:pt idx="10">
                    <c:v>Ivica Zubac</c:v>
                  </c:pt>
                  <c:pt idx="11">
                    <c:v>Payton Pritchard</c:v>
                  </c:pt>
                  <c:pt idx="12">
                    <c:v>Cameron Boozer</c:v>
                  </c:pt>
                  <c:pt idx="13">
                    <c:v>Ryan Rollins</c:v>
                  </c:pt>
                  <c:pt idx="14">
                    <c:v>Peyton Watson</c:v>
                  </c:pt>
                  <c:pt idx="15">
                    <c:v>Franz Wagner</c:v>
                  </c:pt>
                  <c:pt idx="16">
                    <c:v>Tyler Herro</c:v>
                  </c:pt>
                  <c:pt idx="17">
                    <c:v>Jaren Jackson Jr.</c:v>
                  </c:pt>
                  <c:pt idx="18">
                    <c:v>Lauri Markkanen</c:v>
                  </c:pt>
                  <c:pt idx="19">
                    <c:v>Darryn Peterson</c:v>
                  </c:pt>
                  <c:pt idx="20">
                    <c:v>Immanuel Quickley</c:v>
                  </c:pt>
                  <c:pt idx="21">
                    <c:v>Jayson Tatum</c:v>
                  </c:pt>
                  <c:pt idx="22">
                    <c:v>Jamal Murray</c:v>
                  </c:pt>
                  <c:pt idx="23">
                    <c:v>Alperen Sengun</c:v>
                  </c:pt>
                  <c:pt idx="24">
                    <c:v>Donovan Clingan</c:v>
                  </c:pt>
                  <c:pt idx="25">
                    <c:v>Kel'el Ware</c:v>
                  </c:pt>
                  <c:pt idx="26">
                    <c:v>Isaiah Hartenstein</c:v>
                  </c:pt>
                  <c:pt idx="27">
                    <c:v>Coby White</c:v>
                  </c:pt>
                  <c:pt idx="28">
                    <c:v>Alex Sarr</c:v>
                  </c:pt>
                  <c:pt idx="29">
                    <c:v>Jabari Smith Jr.</c:v>
                  </c:pt>
                  <c:pt idx="30">
                    <c:v>Keegan Murray</c:v>
                  </c:pt>
                  <c:pt idx="31">
                    <c:v>Josh Giddey</c:v>
                  </c:pt>
                  <c:pt idx="32">
                    <c:v>Brandon Ingram</c:v>
                  </c:pt>
                  <c:pt idx="33">
                    <c:v>Jrue Holiday</c:v>
                  </c:pt>
                  <c:pt idx="34">
                    <c:v>Julius Randle</c:v>
                  </c:pt>
                  <c:pt idx="35">
                    <c:v>Jalen Suggs</c:v>
                  </c:pt>
                  <c:pt idx="36">
                    <c:v>Kyshawn George</c:v>
                  </c:pt>
                  <c:pt idx="37">
                    <c:v>Zach Edey</c:v>
                  </c:pt>
                  <c:pt idx="38">
                    <c:v>Evan Mobley</c:v>
                  </c:pt>
                  <c:pt idx="39">
                    <c:v>Luka Doncic</c:v>
                  </c:pt>
                  <c:pt idx="40">
                    <c:v>Paul George</c:v>
                  </c:pt>
                  <c:pt idx="41">
                    <c:v>Rudy Gobert</c:v>
                  </c:pt>
                  <c:pt idx="42">
                    <c:v>Ausar Thompson</c:v>
                  </c:pt>
                  <c:pt idx="43">
                    <c:v>Zach LaVine</c:v>
                  </c:pt>
                  <c:pt idx="44">
                    <c:v>VJ Edgecombe</c:v>
                  </c:pt>
                  <c:pt idx="45">
                    <c:v>Deni Avdija</c:v>
                  </c:pt>
                  <c:pt idx="46">
                    <c:v>Austin Reaves</c:v>
                  </c:pt>
                  <c:pt idx="47">
                    <c:v>Myles Turner</c:v>
                  </c:pt>
                  <c:pt idx="48">
                    <c:v>Chet Holmgren</c:v>
                  </c:pt>
                  <c:pt idx="49">
                    <c:v>RJ Barrett</c:v>
                  </c:pt>
                </c15:dlblRangeCache>
              </c15:datalabelsRange>
            </c:ext>
            <c:ext xmlns:c16="http://schemas.microsoft.com/office/drawing/2014/chart" uri="{C3380CC4-5D6E-409C-BE32-E72D297353CC}">
              <c16:uniqueId val="{00000000-8CC6-1B48-A1FD-45E25B27C59D}"/>
            </c:ext>
          </c:extLst>
        </c:ser>
        <c:dLbls>
          <c:dLblPos val="t"/>
          <c:showLegendKey val="0"/>
          <c:showVal val="1"/>
          <c:showCatName val="0"/>
          <c:showSerName val="0"/>
          <c:showPercent val="0"/>
          <c:showBubbleSize val="0"/>
        </c:dLbls>
        <c:axId val="1516008863"/>
        <c:axId val="540192848"/>
      </c:scatterChart>
      <c:valAx>
        <c:axId val="1516008863"/>
        <c:scaling>
          <c:orientation val="maxMin"/>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r>
                  <a:rPr lang="en-US" sz="1800"/>
                  <a:t>Standard Deviation (Further Right</a:t>
                </a:r>
                <a:r>
                  <a:rPr lang="en-US" sz="1800" baseline="0"/>
                  <a:t> = More Expert Agreement)</a:t>
                </a:r>
                <a:endParaRPr lang="en-US" sz="1800"/>
              </a:p>
            </c:rich>
          </c:tx>
          <c:layout>
            <c:manualLayout>
              <c:xMode val="edge"/>
              <c:yMode val="edge"/>
              <c:x val="0.24622296405802216"/>
              <c:y val="0.95801763968693099"/>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40192848"/>
        <c:crosses val="autoZero"/>
        <c:crossBetween val="midCat"/>
      </c:valAx>
      <c:valAx>
        <c:axId val="540192848"/>
        <c:scaling>
          <c:orientation val="minMax"/>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r>
                  <a:rPr lang="en-US" sz="1800"/>
                  <a:t>Draft</a:t>
                </a:r>
                <a:r>
                  <a:rPr lang="en-US" sz="1800" baseline="0"/>
                  <a:t> Value (Average Expert Ranking - Average Draft Position)</a:t>
                </a:r>
                <a:endParaRPr lang="en-US" sz="1800"/>
              </a:p>
            </c:rich>
          </c:tx>
          <c:layout>
            <c:manualLayout>
              <c:xMode val="edge"/>
              <c:yMode val="edge"/>
              <c:x val="0.96857706078112438"/>
              <c:y val="0.23549776548201745"/>
            </c:manualLayout>
          </c:layout>
          <c:overlay val="0"/>
          <c:spPr>
            <a:noFill/>
            <a:ln>
              <a:noFill/>
            </a:ln>
            <a:effectLst/>
          </c:spPr>
          <c:txPr>
            <a:bodyPr rot="-54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5160088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258537</xdr:colOff>
      <xdr:row>6</xdr:row>
      <xdr:rowOff>158750</xdr:rowOff>
    </xdr:from>
    <xdr:to>
      <xdr:col>21</xdr:col>
      <xdr:colOff>349250</xdr:colOff>
      <xdr:row>51</xdr:row>
      <xdr:rowOff>15875</xdr:rowOff>
    </xdr:to>
    <xdr:graphicFrame macro="">
      <xdr:nvGraphicFramePr>
        <xdr:cNvPr id="4" name="Chart 3">
          <a:extLst>
            <a:ext uri="{FF2B5EF4-FFF2-40B4-BE49-F238E27FC236}">
              <a16:creationId xmlns:a16="http://schemas.microsoft.com/office/drawing/2014/main" id="{D30CB85F-A648-BF9B-F209-0EE2522429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206373</xdr:colOff>
      <xdr:row>0</xdr:row>
      <xdr:rowOff>174625</xdr:rowOff>
    </xdr:from>
    <xdr:to>
      <xdr:col>23</xdr:col>
      <xdr:colOff>222249</xdr:colOff>
      <xdr:row>5</xdr:row>
      <xdr:rowOff>1</xdr:rowOff>
    </xdr:to>
    <xdr:sp macro="" textlink="">
      <xdr:nvSpPr>
        <xdr:cNvPr id="5" name="TextBox 4">
          <a:extLst>
            <a:ext uri="{FF2B5EF4-FFF2-40B4-BE49-F238E27FC236}">
              <a16:creationId xmlns:a16="http://schemas.microsoft.com/office/drawing/2014/main" id="{B4E4F0B6-6A38-E45F-4879-9702FABC5CF1}"/>
            </a:ext>
          </a:extLst>
        </xdr:cNvPr>
        <xdr:cNvSpPr txBox="1"/>
      </xdr:nvSpPr>
      <xdr:spPr>
        <a:xfrm>
          <a:off x="9763123" y="174625"/>
          <a:ext cx="13557251" cy="10636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800">
              <a:solidFill>
                <a:schemeClr val="tx2"/>
              </a:solidFill>
              <a:latin typeface="Baloo Bhaijaan" panose="03080902040302020200" pitchFamily="66" charset="-78"/>
              <a:ea typeface="Apple Color Emoji" pitchFamily="2" charset="0"/>
              <a:cs typeface="Baloo Bhaijaan" panose="03080902040302020200" pitchFamily="66" charset="-78"/>
            </a:rPr>
            <a:t>TOP 50 FANTASY BASKETBALL</a:t>
          </a:r>
          <a:r>
            <a:rPr lang="en-US" sz="4800" baseline="0">
              <a:solidFill>
                <a:schemeClr val="tx2"/>
              </a:solidFill>
              <a:latin typeface="Baloo Bhaijaan" panose="03080902040302020200" pitchFamily="66" charset="-78"/>
              <a:ea typeface="Apple Color Emoji" pitchFamily="2" charset="0"/>
              <a:cs typeface="Baloo Bhaijaan" panose="03080902040302020200" pitchFamily="66" charset="-78"/>
            </a:rPr>
            <a:t> VALUE TARG</a:t>
          </a:r>
          <a:r>
            <a:rPr lang="en-US" sz="4800" baseline="0">
              <a:solidFill>
                <a:schemeClr val="tx2"/>
              </a:solidFill>
              <a:latin typeface="Baloo Bhaijaan" panose="03080902040302020200" pitchFamily="66" charset="-78"/>
              <a:cs typeface="Baloo Bhaijaan" panose="03080902040302020200" pitchFamily="66" charset="-78"/>
            </a:rPr>
            <a:t>ETS</a:t>
          </a:r>
        </a:p>
        <a:p>
          <a:pPr algn="ctr"/>
          <a:endParaRPr lang="en-US" sz="4800" baseline="0">
            <a:solidFill>
              <a:schemeClr val="tx2"/>
            </a:solidFill>
            <a:latin typeface="Baloo Bhaijaan" panose="03080902040302020200" pitchFamily="66" charset="-78"/>
            <a:cs typeface="Baloo Bhaijaan" panose="03080902040302020200" pitchFamily="66" charset="-78"/>
          </a:endParaRPr>
        </a:p>
        <a:p>
          <a:endParaRPr lang="en-US" sz="4800">
            <a:latin typeface="Baloo Bhaijaan" panose="03080902040302020200" pitchFamily="66" charset="-78"/>
            <a:cs typeface="Baloo Bhaijaan" panose="03080902040302020200" pitchFamily="66" charset="-78"/>
          </a:endParaRPr>
        </a:p>
      </xdr:txBody>
    </xdr:sp>
    <xdr:clientData/>
  </xdr:twoCellAnchor>
  <xdr:twoCellAnchor>
    <xdr:from>
      <xdr:col>9</xdr:col>
      <xdr:colOff>365125</xdr:colOff>
      <xdr:row>4</xdr:row>
      <xdr:rowOff>0</xdr:rowOff>
    </xdr:from>
    <xdr:to>
      <xdr:col>21</xdr:col>
      <xdr:colOff>63500</xdr:colOff>
      <xdr:row>5</xdr:row>
      <xdr:rowOff>79375</xdr:rowOff>
    </xdr:to>
    <xdr:sp macro="" textlink="">
      <xdr:nvSpPr>
        <xdr:cNvPr id="7" name="TextBox 6">
          <a:extLst>
            <a:ext uri="{FF2B5EF4-FFF2-40B4-BE49-F238E27FC236}">
              <a16:creationId xmlns:a16="http://schemas.microsoft.com/office/drawing/2014/main" id="{52A8EEB8-A447-6122-98FB-6AD3376FAEA6}"/>
            </a:ext>
          </a:extLst>
        </xdr:cNvPr>
        <xdr:cNvSpPr txBox="1"/>
      </xdr:nvSpPr>
      <xdr:spPr>
        <a:xfrm>
          <a:off x="10747375" y="1000125"/>
          <a:ext cx="10763250"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aseline="0"/>
            <a:t>(full 150 player ranking and position filters on full_rankings sheet) (statistics explained on legend sheet)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596900</xdr:colOff>
      <xdr:row>6</xdr:row>
      <xdr:rowOff>158748</xdr:rowOff>
    </xdr:from>
    <xdr:to>
      <xdr:col>18</xdr:col>
      <xdr:colOff>254000</xdr:colOff>
      <xdr:row>32</xdr:row>
      <xdr:rowOff>44448</xdr:rowOff>
    </xdr:to>
    <mc:AlternateContent xmlns:mc="http://schemas.openxmlformats.org/markup-compatibility/2006">
      <mc:Choice xmlns:sle15="http://schemas.microsoft.com/office/drawing/2012/slicer" Requires="sle15">
        <xdr:graphicFrame macro="">
          <xdr:nvGraphicFramePr>
            <xdr:cNvPr id="13" name="pos">
              <a:extLst>
                <a:ext uri="{FF2B5EF4-FFF2-40B4-BE49-F238E27FC236}">
                  <a16:creationId xmlns:a16="http://schemas.microsoft.com/office/drawing/2014/main" id="{8F845F22-E75E-29F1-0C40-DDC012B0EB71}"/>
                </a:ext>
              </a:extLst>
            </xdr:cNvPr>
            <xdr:cNvGraphicFramePr/>
          </xdr:nvGraphicFramePr>
          <xdr:xfrm>
            <a:off x="0" y="0"/>
            <a:ext cx="0" cy="0"/>
          </xdr:xfrm>
          <a:graphic>
            <a:graphicData uri="http://schemas.microsoft.com/office/drawing/2010/slicer">
              <sle:slicer xmlns:sle="http://schemas.microsoft.com/office/drawing/2010/slicer" name="pos"/>
            </a:graphicData>
          </a:graphic>
        </xdr:graphicFrame>
      </mc:Choice>
      <mc:Fallback>
        <xdr:sp macro="" textlink="">
          <xdr:nvSpPr>
            <xdr:cNvPr id="0" name=""/>
            <xdr:cNvSpPr>
              <a:spLocks noTextEdit="1"/>
            </xdr:cNvSpPr>
          </xdr:nvSpPr>
          <xdr:spPr>
            <a:xfrm>
              <a:off x="11344275" y="1873248"/>
              <a:ext cx="7086600" cy="73152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 xr10:uid="{7297EB27-D7BE-C74F-8020-218B6605FDB1}" sourceName="pos">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 xr10:uid="{658ACBBC-EA4E-C24C-917A-FA15E6F5F832}" cache="Slicer_pos" caption="Filter By Position!" columnCount="3" style="SlicerStyleLight6" rowHeight="11887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95FC81A-F11D-974D-8761-7B27AB9B5D91}" name="Table4" displayName="Table4" ref="A1:G51" totalsRowShown="0" headerRowDxfId="9" dataDxfId="1">
  <autoFilter ref="A1:G51" xr:uid="{095FC81A-F11D-974D-8761-7B27AB9B5D91}"/>
  <tableColumns count="7">
    <tableColumn id="1" xr3:uid="{4566B8DA-93D5-004A-9DB7-88883A9006B7}" name="player" dataDxfId="8"/>
    <tableColumn id="2" xr3:uid="{34AF8915-4D32-2442-926C-F537831A18CB}" name="pos" dataDxfId="7"/>
    <tableColumn id="3" xr3:uid="{7995DA9B-0A99-8546-A9D4-A02B3C025059}" name="adp" dataDxfId="6"/>
    <tableColumn id="4" xr3:uid="{ADBAE5BD-8905-7842-B738-4692E104DAFD}" name="avg_expert_rank" dataDxfId="5"/>
    <tableColumn id="5" xr3:uid="{303DD37F-D8E2-7744-B193-2DBF3A1585E3}" name="rank_std_dev" dataDxfId="4"/>
    <tableColumn id="6" xr3:uid="{4FC5C825-611A-BA47-8CC1-FD8AFAC973AC}" name="value" dataDxfId="3"/>
    <tableColumn id="7" xr3:uid="{35DBBF80-3BE0-9F40-A2D1-94E0B6B1B6AD}" name="adjusted value"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604C8E-0C1E-FC49-8F08-5B516BE78BB3}" name="Table1" displayName="Table1" ref="A1:G151" totalsRowShown="0" headerRowDxfId="0" dataDxfId="11">
  <autoFilter ref="A1:G151" xr:uid="{F9604C8E-0C1E-FC49-8F08-5B516BE78BB3}"/>
  <sortState xmlns:xlrd2="http://schemas.microsoft.com/office/spreadsheetml/2017/richdata2" ref="A2:G151">
    <sortCondition descending="1" ref="G1:G151"/>
  </sortState>
  <tableColumns count="7">
    <tableColumn id="1" xr3:uid="{43BC02CE-C24F-EA48-B1E2-A53A5E04768D}" name="player" dataDxfId="17"/>
    <tableColumn id="2" xr3:uid="{98511CEB-8CFF-844E-80F5-7FA263D092CD}" name="pos" dataDxfId="16"/>
    <tableColumn id="3" xr3:uid="{283CD0AB-278E-4948-ABF6-8C09227F909F}" name="adp" dataDxfId="15"/>
    <tableColumn id="4" xr3:uid="{8EB21758-365B-204E-92B6-90D9FBC68777}" name="avg_expert_rank" dataDxfId="14"/>
    <tableColumn id="5" xr3:uid="{0B84486B-6009-CD41-91A1-0D8CBACCDC42}" name="rank_std_dev" dataDxfId="13"/>
    <tableColumn id="6" xr3:uid="{EAF363BA-68D6-9B49-8C5C-1DC4593235A3}" name="value" dataDxfId="12"/>
    <tableColumn id="7" xr3:uid="{0D7CF265-FB8B-DA4B-A6E3-6AE0A7C60EF9}" name="adjusted value" dataDxfId="10">
      <calculatedColumnFormula>ROUND(Table1[[#This Row],[value]]/MAX( Table1[[#This Row],[rank_std_dev]], 1), 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196E9-5243-B941-B584-E58AB274B4B7}">
  <dimension ref="A1:G51"/>
  <sheetViews>
    <sheetView showGridLines="0" tabSelected="1" zoomScale="80" zoomScaleNormal="80" workbookViewId="0">
      <selection activeCell="X13" sqref="X13"/>
    </sheetView>
  </sheetViews>
  <sheetFormatPr baseColWidth="10" defaultRowHeight="16" x14ac:dyDescent="0.2"/>
  <cols>
    <col min="1" max="1" width="18" customWidth="1"/>
    <col min="4" max="4" width="22.6640625" customWidth="1"/>
    <col min="5" max="5" width="20" customWidth="1"/>
    <col min="6" max="6" width="11" customWidth="1"/>
    <col min="7" max="7" width="21.33203125" customWidth="1"/>
    <col min="17" max="17" width="17.1640625" customWidth="1"/>
    <col min="18" max="18" width="14.6640625" customWidth="1"/>
    <col min="20" max="20" width="16" customWidth="1"/>
  </cols>
  <sheetData>
    <row r="1" spans="1:7" ht="22" x14ac:dyDescent="0.3">
      <c r="A1" s="3" t="s">
        <v>0</v>
      </c>
      <c r="B1" s="4" t="s">
        <v>1</v>
      </c>
      <c r="C1" s="4" t="s">
        <v>2</v>
      </c>
      <c r="D1" s="4" t="s">
        <v>3</v>
      </c>
      <c r="E1" s="4" t="s">
        <v>4</v>
      </c>
      <c r="F1" s="4" t="s">
        <v>5</v>
      </c>
      <c r="G1" s="4" t="s">
        <v>169</v>
      </c>
    </row>
    <row r="2" spans="1:7" ht="19" x14ac:dyDescent="0.25">
      <c r="A2" s="1" t="s">
        <v>20</v>
      </c>
      <c r="B2" s="2" t="s">
        <v>13</v>
      </c>
      <c r="C2" s="2">
        <v>130.80000000000001</v>
      </c>
      <c r="D2" s="2">
        <v>103.5</v>
      </c>
      <c r="E2" s="2">
        <v>4.72</v>
      </c>
      <c r="F2" s="2">
        <v>27.3</v>
      </c>
      <c r="G2" s="2">
        <f>full_rankings!G2</f>
        <v>5.8</v>
      </c>
    </row>
    <row r="3" spans="1:7" ht="19" x14ac:dyDescent="0.25">
      <c r="A3" s="1" t="s">
        <v>14</v>
      </c>
      <c r="B3" s="2" t="s">
        <v>13</v>
      </c>
      <c r="C3" s="2">
        <v>79</v>
      </c>
      <c r="D3" s="2">
        <v>46.6</v>
      </c>
      <c r="E3" s="2">
        <v>6.74</v>
      </c>
      <c r="F3" s="2">
        <v>32.4</v>
      </c>
      <c r="G3" s="2">
        <f>full_rankings!G3</f>
        <v>4.8</v>
      </c>
    </row>
    <row r="4" spans="1:7" ht="19" x14ac:dyDescent="0.25">
      <c r="A4" s="1" t="s">
        <v>27</v>
      </c>
      <c r="B4" s="2" t="s">
        <v>28</v>
      </c>
      <c r="C4" s="2">
        <v>96.1</v>
      </c>
      <c r="D4" s="2">
        <v>73.2</v>
      </c>
      <c r="E4" s="2">
        <v>5.56</v>
      </c>
      <c r="F4" s="2">
        <v>22.9</v>
      </c>
      <c r="G4" s="2">
        <f>full_rankings!G4</f>
        <v>4.0999999999999996</v>
      </c>
    </row>
    <row r="5" spans="1:7" ht="19" x14ac:dyDescent="0.25">
      <c r="A5" s="1" t="s">
        <v>85</v>
      </c>
      <c r="B5" s="2" t="s">
        <v>35</v>
      </c>
      <c r="C5" s="2">
        <v>11.7</v>
      </c>
      <c r="D5" s="2">
        <v>7.6</v>
      </c>
      <c r="E5" s="2">
        <v>1.02</v>
      </c>
      <c r="F5" s="2">
        <v>4.0999999999999996</v>
      </c>
      <c r="G5" s="2">
        <f>full_rankings!G5</f>
        <v>4</v>
      </c>
    </row>
    <row r="6" spans="1:7" ht="19" x14ac:dyDescent="0.25">
      <c r="A6" s="1" t="s">
        <v>19</v>
      </c>
      <c r="B6" s="2" t="s">
        <v>7</v>
      </c>
      <c r="C6" s="2">
        <v>82.7</v>
      </c>
      <c r="D6" s="2">
        <v>55.2</v>
      </c>
      <c r="E6" s="2">
        <v>7.52</v>
      </c>
      <c r="F6" s="2">
        <v>27.5</v>
      </c>
      <c r="G6" s="2">
        <f>full_rankings!G6</f>
        <v>3.7</v>
      </c>
    </row>
    <row r="7" spans="1:7" ht="19" x14ac:dyDescent="0.25">
      <c r="A7" s="1" t="s">
        <v>22</v>
      </c>
      <c r="B7" s="2" t="s">
        <v>7</v>
      </c>
      <c r="C7" s="2">
        <v>122.5</v>
      </c>
      <c r="D7" s="2">
        <v>96.8</v>
      </c>
      <c r="E7" s="2">
        <v>7.29</v>
      </c>
      <c r="F7" s="2">
        <v>25.7</v>
      </c>
      <c r="G7" s="2">
        <f>full_rankings!G7</f>
        <v>3.5</v>
      </c>
    </row>
    <row r="8" spans="1:7" ht="19" x14ac:dyDescent="0.25">
      <c r="A8" s="1" t="s">
        <v>21</v>
      </c>
      <c r="B8" s="2" t="s">
        <v>16</v>
      </c>
      <c r="C8" s="2">
        <v>76.5</v>
      </c>
      <c r="D8" s="2">
        <v>49.4</v>
      </c>
      <c r="E8" s="2">
        <v>8.11</v>
      </c>
      <c r="F8" s="2">
        <v>27.1</v>
      </c>
      <c r="G8" s="2">
        <f>full_rankings!G8</f>
        <v>3.3</v>
      </c>
    </row>
    <row r="9" spans="1:7" ht="19" x14ac:dyDescent="0.25">
      <c r="A9" s="1" t="s">
        <v>29</v>
      </c>
      <c r="B9" s="2" t="s">
        <v>11</v>
      </c>
      <c r="C9" s="2">
        <v>108</v>
      </c>
      <c r="D9" s="2">
        <v>85.6</v>
      </c>
      <c r="E9" s="2">
        <v>6.71</v>
      </c>
      <c r="F9" s="2">
        <v>22.4</v>
      </c>
      <c r="G9" s="2">
        <f>full_rankings!G9</f>
        <v>3.3</v>
      </c>
    </row>
    <row r="10" spans="1:7" ht="19" x14ac:dyDescent="0.25">
      <c r="A10" s="1" t="s">
        <v>17</v>
      </c>
      <c r="B10" s="2" t="s">
        <v>9</v>
      </c>
      <c r="C10" s="2">
        <v>82.6</v>
      </c>
      <c r="D10" s="2">
        <v>53.6</v>
      </c>
      <c r="E10" s="2">
        <v>9.0500000000000007</v>
      </c>
      <c r="F10" s="2">
        <v>29</v>
      </c>
      <c r="G10" s="2">
        <f>full_rankings!G10</f>
        <v>3.2</v>
      </c>
    </row>
    <row r="11" spans="1:7" ht="19" x14ac:dyDescent="0.25">
      <c r="A11" s="1" t="s">
        <v>12</v>
      </c>
      <c r="B11" s="2" t="s">
        <v>13</v>
      </c>
      <c r="C11" s="2">
        <v>77.2</v>
      </c>
      <c r="D11" s="2">
        <v>43.4</v>
      </c>
      <c r="E11" s="2">
        <v>11.02</v>
      </c>
      <c r="F11" s="2">
        <v>33.799999999999997</v>
      </c>
      <c r="G11" s="2">
        <f>full_rankings!G11</f>
        <v>3.1</v>
      </c>
    </row>
    <row r="12" spans="1:7" ht="19" x14ac:dyDescent="0.25">
      <c r="A12" s="1" t="s">
        <v>39</v>
      </c>
      <c r="B12" s="2" t="s">
        <v>7</v>
      </c>
      <c r="C12" s="2">
        <v>86.2</v>
      </c>
      <c r="D12" s="2">
        <v>67.599999999999994</v>
      </c>
      <c r="E12" s="2">
        <v>6.28</v>
      </c>
      <c r="F12" s="2">
        <v>18.600000000000001</v>
      </c>
      <c r="G12" s="2">
        <f>full_rankings!G12</f>
        <v>3</v>
      </c>
    </row>
    <row r="13" spans="1:7" ht="19" x14ac:dyDescent="0.25">
      <c r="A13" s="1" t="s">
        <v>38</v>
      </c>
      <c r="B13" s="2" t="s">
        <v>9</v>
      </c>
      <c r="C13" s="2">
        <v>101.8</v>
      </c>
      <c r="D13" s="2">
        <v>83</v>
      </c>
      <c r="E13" s="2">
        <v>6.42</v>
      </c>
      <c r="F13" s="2">
        <v>18.8</v>
      </c>
      <c r="G13" s="2">
        <f>full_rankings!G13</f>
        <v>2.9</v>
      </c>
    </row>
    <row r="14" spans="1:7" ht="19" x14ac:dyDescent="0.25">
      <c r="A14" s="1" t="s">
        <v>34</v>
      </c>
      <c r="B14" s="2" t="s">
        <v>35</v>
      </c>
      <c r="C14" s="2">
        <v>84</v>
      </c>
      <c r="D14" s="2">
        <v>64.599999999999994</v>
      </c>
      <c r="E14" s="2">
        <v>7</v>
      </c>
      <c r="F14" s="2">
        <v>19.399999999999999</v>
      </c>
      <c r="G14" s="2">
        <f>full_rankings!G14</f>
        <v>2.8</v>
      </c>
    </row>
    <row r="15" spans="1:7" ht="19" x14ac:dyDescent="0.25">
      <c r="A15" s="1" t="s">
        <v>15</v>
      </c>
      <c r="B15" s="2" t="s">
        <v>16</v>
      </c>
      <c r="C15" s="2">
        <v>112.9</v>
      </c>
      <c r="D15" s="2">
        <v>81.8</v>
      </c>
      <c r="E15" s="2">
        <v>11.23</v>
      </c>
      <c r="F15" s="2">
        <v>31.1</v>
      </c>
      <c r="G15" s="2">
        <f>full_rankings!G15</f>
        <v>2.8</v>
      </c>
    </row>
    <row r="16" spans="1:7" ht="19" x14ac:dyDescent="0.25">
      <c r="A16" s="1" t="s">
        <v>45</v>
      </c>
      <c r="B16" s="2" t="s">
        <v>28</v>
      </c>
      <c r="C16" s="2">
        <v>127.3</v>
      </c>
      <c r="D16" s="2">
        <v>111.6</v>
      </c>
      <c r="E16" s="2">
        <v>5.95</v>
      </c>
      <c r="F16" s="2">
        <v>15.7</v>
      </c>
      <c r="G16" s="2">
        <f>full_rankings!G16</f>
        <v>2.6</v>
      </c>
    </row>
    <row r="17" spans="1:7" ht="19" x14ac:dyDescent="0.25">
      <c r="A17" s="1" t="s">
        <v>30</v>
      </c>
      <c r="B17" s="2" t="s">
        <v>28</v>
      </c>
      <c r="C17" s="2">
        <v>71.900000000000006</v>
      </c>
      <c r="D17" s="2">
        <v>51.2</v>
      </c>
      <c r="E17" s="2">
        <v>7.98</v>
      </c>
      <c r="F17" s="2">
        <v>20.7</v>
      </c>
      <c r="G17" s="2">
        <f>full_rankings!G17</f>
        <v>2.6</v>
      </c>
    </row>
    <row r="18" spans="1:7" ht="19" x14ac:dyDescent="0.25">
      <c r="A18" s="1" t="s">
        <v>49</v>
      </c>
      <c r="B18" s="2" t="s">
        <v>16</v>
      </c>
      <c r="C18" s="2">
        <v>72.8</v>
      </c>
      <c r="D18" s="2">
        <v>60.6</v>
      </c>
      <c r="E18" s="2">
        <v>4.76</v>
      </c>
      <c r="F18" s="2">
        <v>12.2</v>
      </c>
      <c r="G18" s="2">
        <f>full_rankings!G18</f>
        <v>2.6</v>
      </c>
    </row>
    <row r="19" spans="1:7" ht="19" x14ac:dyDescent="0.25">
      <c r="A19" s="1" t="s">
        <v>10</v>
      </c>
      <c r="B19" s="2" t="s">
        <v>11</v>
      </c>
      <c r="C19" s="2">
        <v>89.6</v>
      </c>
      <c r="D19" s="2">
        <v>55.4</v>
      </c>
      <c r="E19" s="2">
        <v>13.66</v>
      </c>
      <c r="F19" s="2">
        <v>34.200000000000003</v>
      </c>
      <c r="G19" s="2">
        <f>full_rankings!G19</f>
        <v>2.5</v>
      </c>
    </row>
    <row r="20" spans="1:7" ht="19" x14ac:dyDescent="0.25">
      <c r="A20" s="1" t="s">
        <v>46</v>
      </c>
      <c r="B20" s="2" t="s">
        <v>42</v>
      </c>
      <c r="C20" s="2">
        <v>62.2</v>
      </c>
      <c r="D20" s="2">
        <v>47</v>
      </c>
      <c r="E20" s="2">
        <v>6.45</v>
      </c>
      <c r="F20" s="2">
        <v>15.2</v>
      </c>
      <c r="G20" s="2">
        <f>full_rankings!G20</f>
        <v>2.4</v>
      </c>
    </row>
    <row r="21" spans="1:7" ht="19" x14ac:dyDescent="0.25">
      <c r="A21" s="1" t="s">
        <v>74</v>
      </c>
      <c r="B21" s="2" t="s">
        <v>16</v>
      </c>
      <c r="C21" s="2">
        <v>111.9</v>
      </c>
      <c r="D21" s="2">
        <v>105.2</v>
      </c>
      <c r="E21" s="2">
        <v>2.86</v>
      </c>
      <c r="F21" s="2">
        <v>6.7</v>
      </c>
      <c r="G21" s="2">
        <f>full_rankings!G21</f>
        <v>2.2999999999999998</v>
      </c>
    </row>
    <row r="22" spans="1:7" ht="19" x14ac:dyDescent="0.25">
      <c r="A22" s="1" t="s">
        <v>23</v>
      </c>
      <c r="B22" s="2" t="s">
        <v>9</v>
      </c>
      <c r="C22" s="2">
        <v>109.3</v>
      </c>
      <c r="D22" s="2">
        <v>83.8</v>
      </c>
      <c r="E22" s="2">
        <v>10.96</v>
      </c>
      <c r="F22" s="2">
        <v>25.5</v>
      </c>
      <c r="G22" s="2">
        <f>full_rankings!G22</f>
        <v>2.2999999999999998</v>
      </c>
    </row>
    <row r="23" spans="1:7" ht="19" x14ac:dyDescent="0.25">
      <c r="A23" s="1" t="s">
        <v>94</v>
      </c>
      <c r="B23" s="2" t="s">
        <v>42</v>
      </c>
      <c r="C23" s="2">
        <v>9.9</v>
      </c>
      <c r="D23" s="2">
        <v>7.6</v>
      </c>
      <c r="E23" s="2">
        <v>1.02</v>
      </c>
      <c r="F23" s="2">
        <v>2.2999999999999998</v>
      </c>
      <c r="G23" s="2">
        <f>full_rankings!G23</f>
        <v>2.2999999999999998</v>
      </c>
    </row>
    <row r="24" spans="1:7" ht="19" x14ac:dyDescent="0.25">
      <c r="A24" s="1" t="s">
        <v>54</v>
      </c>
      <c r="B24" s="2" t="s">
        <v>55</v>
      </c>
      <c r="C24" s="2">
        <v>32.6</v>
      </c>
      <c r="D24" s="2">
        <v>21.2</v>
      </c>
      <c r="E24" s="2">
        <v>5.19</v>
      </c>
      <c r="F24" s="2">
        <v>11.4</v>
      </c>
      <c r="G24" s="2">
        <f>full_rankings!G24</f>
        <v>2.2000000000000002</v>
      </c>
    </row>
    <row r="25" spans="1:7" ht="19" x14ac:dyDescent="0.25">
      <c r="A25" s="1" t="s">
        <v>58</v>
      </c>
      <c r="B25" s="2" t="s">
        <v>7</v>
      </c>
      <c r="C25" s="2">
        <v>25.8</v>
      </c>
      <c r="D25" s="2">
        <v>14.8</v>
      </c>
      <c r="E25" s="2">
        <v>5.19</v>
      </c>
      <c r="F25" s="2">
        <v>11</v>
      </c>
      <c r="G25" s="2">
        <f>full_rankings!G25</f>
        <v>2.1</v>
      </c>
    </row>
    <row r="26" spans="1:7" ht="19" x14ac:dyDescent="0.25">
      <c r="A26" s="1" t="s">
        <v>18</v>
      </c>
      <c r="B26" s="2" t="s">
        <v>7</v>
      </c>
      <c r="C26" s="2">
        <v>87.2</v>
      </c>
      <c r="D26" s="2">
        <v>58.8</v>
      </c>
      <c r="E26" s="2">
        <v>13.59</v>
      </c>
      <c r="F26" s="2">
        <v>28.4</v>
      </c>
      <c r="G26" s="2">
        <f>full_rankings!G26</f>
        <v>2.1</v>
      </c>
    </row>
    <row r="27" spans="1:7" ht="19" x14ac:dyDescent="0.25">
      <c r="A27" s="1" t="s">
        <v>24</v>
      </c>
      <c r="B27" s="2" t="s">
        <v>7</v>
      </c>
      <c r="C27" s="2">
        <v>111.5</v>
      </c>
      <c r="D27" s="2">
        <v>87.8</v>
      </c>
      <c r="E27" s="2">
        <v>11.75</v>
      </c>
      <c r="F27" s="2">
        <v>23.7</v>
      </c>
      <c r="G27" s="2">
        <f>full_rankings!G27</f>
        <v>2</v>
      </c>
    </row>
    <row r="28" spans="1:7" ht="19" x14ac:dyDescent="0.25">
      <c r="A28" s="1" t="s">
        <v>25</v>
      </c>
      <c r="B28" s="2" t="s">
        <v>7</v>
      </c>
      <c r="C28" s="2">
        <v>132.6</v>
      </c>
      <c r="D28" s="2">
        <v>109</v>
      </c>
      <c r="E28" s="2">
        <v>12.98</v>
      </c>
      <c r="F28" s="2">
        <v>23.6</v>
      </c>
      <c r="G28" s="2">
        <f>full_rankings!G28</f>
        <v>1.8</v>
      </c>
    </row>
    <row r="29" spans="1:7" ht="19" x14ac:dyDescent="0.25">
      <c r="A29" s="1" t="s">
        <v>36</v>
      </c>
      <c r="B29" s="2" t="s">
        <v>9</v>
      </c>
      <c r="C29" s="2">
        <v>93.9</v>
      </c>
      <c r="D29" s="2">
        <v>74.8</v>
      </c>
      <c r="E29" s="2">
        <v>10.51</v>
      </c>
      <c r="F29" s="2">
        <v>19.100000000000001</v>
      </c>
      <c r="G29" s="2">
        <f>full_rankings!G29</f>
        <v>1.8</v>
      </c>
    </row>
    <row r="30" spans="1:7" ht="19" x14ac:dyDescent="0.25">
      <c r="A30" s="1" t="s">
        <v>37</v>
      </c>
      <c r="B30" s="2" t="s">
        <v>11</v>
      </c>
      <c r="C30" s="2">
        <v>92.8</v>
      </c>
      <c r="D30" s="2">
        <v>73.8</v>
      </c>
      <c r="E30" s="2">
        <v>11.23</v>
      </c>
      <c r="F30" s="2">
        <v>19</v>
      </c>
      <c r="G30" s="2">
        <f>full_rankings!G30</f>
        <v>1.7</v>
      </c>
    </row>
    <row r="31" spans="1:7" ht="19" x14ac:dyDescent="0.25">
      <c r="A31" s="1" t="s">
        <v>32</v>
      </c>
      <c r="B31" s="2" t="s">
        <v>33</v>
      </c>
      <c r="C31" s="2">
        <v>124.3</v>
      </c>
      <c r="D31" s="2">
        <v>104.8</v>
      </c>
      <c r="E31" s="2">
        <v>11.72</v>
      </c>
      <c r="F31" s="2">
        <v>19.5</v>
      </c>
      <c r="G31" s="2">
        <f>full_rankings!G31</f>
        <v>1.7</v>
      </c>
    </row>
    <row r="32" spans="1:7" ht="19" x14ac:dyDescent="0.25">
      <c r="A32" s="1" t="s">
        <v>41</v>
      </c>
      <c r="B32" s="2" t="s">
        <v>42</v>
      </c>
      <c r="C32" s="2">
        <v>125.7</v>
      </c>
      <c r="D32" s="2">
        <v>108.2</v>
      </c>
      <c r="E32" s="2">
        <v>10.68</v>
      </c>
      <c r="F32" s="2">
        <v>17.5</v>
      </c>
      <c r="G32" s="2">
        <f>full_rankings!G32</f>
        <v>1.6</v>
      </c>
    </row>
    <row r="33" spans="1:7" ht="19" x14ac:dyDescent="0.25">
      <c r="A33" s="1" t="s">
        <v>70</v>
      </c>
      <c r="B33" s="2" t="s">
        <v>9</v>
      </c>
      <c r="C33" s="2">
        <v>25.5</v>
      </c>
      <c r="D33" s="2">
        <v>18.2</v>
      </c>
      <c r="E33" s="2">
        <v>4.53</v>
      </c>
      <c r="F33" s="2">
        <v>7.3</v>
      </c>
      <c r="G33" s="2">
        <f>full_rankings!G33</f>
        <v>1.6</v>
      </c>
    </row>
    <row r="34" spans="1:7" ht="19" x14ac:dyDescent="0.25">
      <c r="A34" s="1" t="s">
        <v>43</v>
      </c>
      <c r="B34" s="2" t="s">
        <v>28</v>
      </c>
      <c r="C34" s="2">
        <v>76.400000000000006</v>
      </c>
      <c r="D34" s="2">
        <v>59</v>
      </c>
      <c r="E34" s="2">
        <v>11.08</v>
      </c>
      <c r="F34" s="2">
        <v>17.399999999999999</v>
      </c>
      <c r="G34" s="2">
        <f>full_rankings!G34</f>
        <v>1.6</v>
      </c>
    </row>
    <row r="35" spans="1:7" ht="19" x14ac:dyDescent="0.25">
      <c r="A35" s="1" t="s">
        <v>84</v>
      </c>
      <c r="B35" s="2" t="s">
        <v>9</v>
      </c>
      <c r="C35" s="2">
        <v>131.9</v>
      </c>
      <c r="D35" s="2">
        <v>127.4</v>
      </c>
      <c r="E35" s="2">
        <v>3.01</v>
      </c>
      <c r="F35" s="2">
        <v>4.5</v>
      </c>
      <c r="G35" s="2">
        <f>full_rankings!G35</f>
        <v>1.5</v>
      </c>
    </row>
    <row r="36" spans="1:7" ht="19" x14ac:dyDescent="0.25">
      <c r="A36" s="1" t="s">
        <v>50</v>
      </c>
      <c r="B36" s="2" t="s">
        <v>35</v>
      </c>
      <c r="C36" s="2">
        <v>65</v>
      </c>
      <c r="D36" s="2">
        <v>53</v>
      </c>
      <c r="E36" s="2">
        <v>8.2899999999999991</v>
      </c>
      <c r="F36" s="2">
        <v>12</v>
      </c>
      <c r="G36" s="2">
        <f>full_rankings!G36</f>
        <v>1.4</v>
      </c>
    </row>
    <row r="37" spans="1:7" ht="19" x14ac:dyDescent="0.25">
      <c r="A37" s="1" t="s">
        <v>8</v>
      </c>
      <c r="B37" s="2" t="s">
        <v>9</v>
      </c>
      <c r="C37" s="2">
        <v>136.69999999999999</v>
      </c>
      <c r="D37" s="2">
        <v>102.4</v>
      </c>
      <c r="E37" s="2">
        <v>24.18</v>
      </c>
      <c r="F37" s="2">
        <v>34.299999999999997</v>
      </c>
      <c r="G37" s="2">
        <f>full_rankings!G37</f>
        <v>1.4</v>
      </c>
    </row>
    <row r="38" spans="1:7" ht="19" x14ac:dyDescent="0.25">
      <c r="A38" s="1" t="s">
        <v>63</v>
      </c>
      <c r="B38" s="2" t="s">
        <v>52</v>
      </c>
      <c r="C38" s="2">
        <v>135.1</v>
      </c>
      <c r="D38" s="2">
        <v>125</v>
      </c>
      <c r="E38" s="2">
        <v>7.69</v>
      </c>
      <c r="F38" s="2">
        <v>10.1</v>
      </c>
      <c r="G38" s="2">
        <f>full_rankings!G38</f>
        <v>1.3</v>
      </c>
    </row>
    <row r="39" spans="1:7" ht="19" x14ac:dyDescent="0.25">
      <c r="A39" s="1" t="s">
        <v>6</v>
      </c>
      <c r="B39" s="2" t="s">
        <v>7</v>
      </c>
      <c r="C39" s="2">
        <v>124.8</v>
      </c>
      <c r="D39" s="2">
        <v>88.2</v>
      </c>
      <c r="E39" s="2">
        <v>27.98</v>
      </c>
      <c r="F39" s="2">
        <v>36.6</v>
      </c>
      <c r="G39" s="2">
        <f>full_rankings!G39</f>
        <v>1.3</v>
      </c>
    </row>
    <row r="40" spans="1:7" ht="19" x14ac:dyDescent="0.25">
      <c r="A40" s="1" t="s">
        <v>65</v>
      </c>
      <c r="B40" s="2" t="s">
        <v>33</v>
      </c>
      <c r="C40" s="2">
        <v>36.799999999999997</v>
      </c>
      <c r="D40" s="2">
        <v>27.2</v>
      </c>
      <c r="E40" s="2">
        <v>7.78</v>
      </c>
      <c r="F40" s="2">
        <v>9.6</v>
      </c>
      <c r="G40" s="2">
        <f>full_rankings!G40</f>
        <v>1.2</v>
      </c>
    </row>
    <row r="41" spans="1:7" ht="19" x14ac:dyDescent="0.25">
      <c r="A41" s="1" t="s">
        <v>101</v>
      </c>
      <c r="B41" s="2" t="s">
        <v>55</v>
      </c>
      <c r="C41" s="2">
        <v>3.8</v>
      </c>
      <c r="D41" s="2">
        <v>2.6</v>
      </c>
      <c r="E41" s="2">
        <v>0.49</v>
      </c>
      <c r="F41" s="2">
        <v>1.2</v>
      </c>
      <c r="G41" s="2">
        <f>full_rankings!G41</f>
        <v>1.2</v>
      </c>
    </row>
    <row r="42" spans="1:7" ht="19" x14ac:dyDescent="0.25">
      <c r="A42" s="1" t="s">
        <v>40</v>
      </c>
      <c r="B42" s="2" t="s">
        <v>28</v>
      </c>
      <c r="C42" s="2">
        <v>104.8</v>
      </c>
      <c r="D42" s="2">
        <v>87.2</v>
      </c>
      <c r="E42" s="2">
        <v>14.8</v>
      </c>
      <c r="F42" s="2">
        <v>17.600000000000001</v>
      </c>
      <c r="G42" s="2">
        <f>full_rankings!G42</f>
        <v>1.2</v>
      </c>
    </row>
    <row r="43" spans="1:7" ht="19" x14ac:dyDescent="0.25">
      <c r="A43" s="1" t="s">
        <v>72</v>
      </c>
      <c r="B43" s="2" t="s">
        <v>7</v>
      </c>
      <c r="C43" s="2">
        <v>83.3</v>
      </c>
      <c r="D43" s="2">
        <v>76.2</v>
      </c>
      <c r="E43" s="2">
        <v>5.98</v>
      </c>
      <c r="F43" s="2">
        <v>7.1</v>
      </c>
      <c r="G43" s="2">
        <f>full_rankings!G43</f>
        <v>1.2</v>
      </c>
    </row>
    <row r="44" spans="1:7" ht="19" x14ac:dyDescent="0.25">
      <c r="A44" s="1" t="s">
        <v>66</v>
      </c>
      <c r="B44" s="2" t="s">
        <v>28</v>
      </c>
      <c r="C44" s="2">
        <v>105.9</v>
      </c>
      <c r="D44" s="2">
        <v>96.6</v>
      </c>
      <c r="E44" s="2">
        <v>7.96</v>
      </c>
      <c r="F44" s="2">
        <v>9.3000000000000007</v>
      </c>
      <c r="G44" s="2">
        <f>full_rankings!G44</f>
        <v>1.2</v>
      </c>
    </row>
    <row r="45" spans="1:7" ht="19" x14ac:dyDescent="0.25">
      <c r="A45" s="1" t="s">
        <v>53</v>
      </c>
      <c r="B45" s="2" t="s">
        <v>52</v>
      </c>
      <c r="C45" s="2">
        <v>123.2</v>
      </c>
      <c r="D45" s="2">
        <v>111.4</v>
      </c>
      <c r="E45" s="2">
        <v>10.61</v>
      </c>
      <c r="F45" s="2">
        <v>11.8</v>
      </c>
      <c r="G45" s="2">
        <f>full_rankings!G45</f>
        <v>1.1000000000000001</v>
      </c>
    </row>
    <row r="46" spans="1:7" ht="19" x14ac:dyDescent="0.25">
      <c r="A46" s="1" t="s">
        <v>59</v>
      </c>
      <c r="B46" s="2" t="s">
        <v>60</v>
      </c>
      <c r="C46" s="2">
        <v>89.5</v>
      </c>
      <c r="D46" s="2">
        <v>78.599999999999994</v>
      </c>
      <c r="E46" s="2">
        <v>10.31</v>
      </c>
      <c r="F46" s="2">
        <v>10.9</v>
      </c>
      <c r="G46" s="2">
        <f>full_rankings!G46</f>
        <v>1.1000000000000001</v>
      </c>
    </row>
    <row r="47" spans="1:7" ht="19" x14ac:dyDescent="0.25">
      <c r="A47" s="1" t="s">
        <v>77</v>
      </c>
      <c r="B47" s="2" t="s">
        <v>28</v>
      </c>
      <c r="C47" s="2">
        <v>39.700000000000003</v>
      </c>
      <c r="D47" s="2">
        <v>33.4</v>
      </c>
      <c r="E47" s="2">
        <v>6.02</v>
      </c>
      <c r="F47" s="2">
        <v>6.3</v>
      </c>
      <c r="G47" s="2">
        <f>full_rankings!G47</f>
        <v>1</v>
      </c>
    </row>
    <row r="48" spans="1:7" ht="19" x14ac:dyDescent="0.25">
      <c r="A48" s="1" t="s">
        <v>71</v>
      </c>
      <c r="B48" s="2" t="s">
        <v>16</v>
      </c>
      <c r="C48" s="2">
        <v>41.5</v>
      </c>
      <c r="D48" s="2">
        <v>34.200000000000003</v>
      </c>
      <c r="E48" s="2">
        <v>7.14</v>
      </c>
      <c r="F48" s="2">
        <v>7.3</v>
      </c>
      <c r="G48" s="2">
        <f>full_rankings!G48</f>
        <v>1</v>
      </c>
    </row>
    <row r="49" spans="1:7" ht="19" x14ac:dyDescent="0.25">
      <c r="A49" s="1" t="s">
        <v>56</v>
      </c>
      <c r="B49" s="2" t="s">
        <v>7</v>
      </c>
      <c r="C49" s="2">
        <v>120</v>
      </c>
      <c r="D49" s="2">
        <v>108.6</v>
      </c>
      <c r="E49" s="2">
        <v>11.31</v>
      </c>
      <c r="F49" s="2">
        <v>11.4</v>
      </c>
      <c r="G49" s="2">
        <f>full_rankings!G49</f>
        <v>1</v>
      </c>
    </row>
    <row r="50" spans="1:7" ht="19" x14ac:dyDescent="0.25">
      <c r="A50" s="1" t="s">
        <v>44</v>
      </c>
      <c r="B50" s="2" t="s">
        <v>11</v>
      </c>
      <c r="C50" s="2">
        <v>63.3</v>
      </c>
      <c r="D50" s="2">
        <v>46.2</v>
      </c>
      <c r="E50" s="2">
        <v>17.45</v>
      </c>
      <c r="F50" s="2">
        <v>17.100000000000001</v>
      </c>
      <c r="G50" s="2">
        <f>full_rankings!G50</f>
        <v>1</v>
      </c>
    </row>
    <row r="51" spans="1:7" ht="19" x14ac:dyDescent="0.25">
      <c r="A51" s="1" t="s">
        <v>26</v>
      </c>
      <c r="B51" s="2" t="s">
        <v>13</v>
      </c>
      <c r="C51" s="2">
        <v>111.3</v>
      </c>
      <c r="D51" s="2">
        <v>87.8</v>
      </c>
      <c r="E51" s="2">
        <v>24.6</v>
      </c>
      <c r="F51" s="2">
        <v>23.5</v>
      </c>
      <c r="G51" s="2">
        <f>full_rankings!G51</f>
        <v>1</v>
      </c>
    </row>
  </sheetData>
  <conditionalFormatting sqref="G1:G51">
    <cfRule type="colorScale" priority="2">
      <colorScale>
        <cfvo type="min"/>
        <cfvo type="max"/>
        <color rgb="FF63BE7B"/>
        <color rgb="FFFFEF9C"/>
      </colorScale>
    </cfRule>
  </conditionalFormatting>
  <conditionalFormatting sqref="G1:G1048576">
    <cfRule type="colorScale" priority="1">
      <colorScale>
        <cfvo type="min"/>
        <cfvo type="max"/>
        <color rgb="FFFFEF9C"/>
        <color rgb="FF63BE7B"/>
      </colorScale>
    </cfRule>
  </conditionalFormatting>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D46E8-48CE-504F-B700-835FED3708F0}">
  <dimension ref="A1:G151"/>
  <sheetViews>
    <sheetView showGridLines="0" zoomScale="80" zoomScaleNormal="80" workbookViewId="0">
      <selection activeCell="O36" sqref="O36"/>
    </sheetView>
  </sheetViews>
  <sheetFormatPr baseColWidth="10" defaultRowHeight="16" x14ac:dyDescent="0.2"/>
  <cols>
    <col min="1" max="1" width="23.83203125" customWidth="1"/>
    <col min="4" max="4" width="22.6640625" bestFit="1" customWidth="1"/>
    <col min="5" max="5" width="19.1640625" bestFit="1" customWidth="1"/>
    <col min="7" max="7" width="21.1640625" bestFit="1" customWidth="1"/>
  </cols>
  <sheetData>
    <row r="1" spans="1:7" ht="22" x14ac:dyDescent="0.3">
      <c r="A1" s="5" t="s">
        <v>0</v>
      </c>
      <c r="B1" s="5" t="s">
        <v>1</v>
      </c>
      <c r="C1" s="5" t="s">
        <v>2</v>
      </c>
      <c r="D1" s="5" t="s">
        <v>3</v>
      </c>
      <c r="E1" s="5" t="s">
        <v>4</v>
      </c>
      <c r="F1" s="5" t="s">
        <v>5</v>
      </c>
      <c r="G1" s="5" t="s">
        <v>169</v>
      </c>
    </row>
    <row r="2" spans="1:7" ht="22" x14ac:dyDescent="0.3">
      <c r="A2" s="3" t="s">
        <v>20</v>
      </c>
      <c r="B2" s="4" t="s">
        <v>13</v>
      </c>
      <c r="C2" s="4">
        <v>130.80000000000001</v>
      </c>
      <c r="D2" s="4">
        <v>103.5</v>
      </c>
      <c r="E2" s="4">
        <v>4.72</v>
      </c>
      <c r="F2" s="4">
        <v>27.3</v>
      </c>
      <c r="G2" s="4">
        <f>ROUND(Table1[[#This Row],[value]]/MAX( Table1[[#This Row],[rank_std_dev]], 1), 1)</f>
        <v>5.8</v>
      </c>
    </row>
    <row r="3" spans="1:7" ht="22" x14ac:dyDescent="0.3">
      <c r="A3" s="3" t="s">
        <v>14</v>
      </c>
      <c r="B3" s="4" t="s">
        <v>13</v>
      </c>
      <c r="C3" s="4">
        <v>79</v>
      </c>
      <c r="D3" s="4">
        <v>46.6</v>
      </c>
      <c r="E3" s="4">
        <v>6.74</v>
      </c>
      <c r="F3" s="4">
        <v>32.4</v>
      </c>
      <c r="G3" s="4">
        <f>ROUND(Table1[[#This Row],[value]]/MAX( Table1[[#This Row],[rank_std_dev]], 1), 1)</f>
        <v>4.8</v>
      </c>
    </row>
    <row r="4" spans="1:7" ht="22" x14ac:dyDescent="0.3">
      <c r="A4" s="3" t="s">
        <v>27</v>
      </c>
      <c r="B4" s="4" t="s">
        <v>28</v>
      </c>
      <c r="C4" s="4">
        <v>96.1</v>
      </c>
      <c r="D4" s="4">
        <v>73.2</v>
      </c>
      <c r="E4" s="4">
        <v>5.56</v>
      </c>
      <c r="F4" s="4">
        <v>22.9</v>
      </c>
      <c r="G4" s="4">
        <f>ROUND(Table1[[#This Row],[value]]/MAX( Table1[[#This Row],[rank_std_dev]], 1), 1)</f>
        <v>4.0999999999999996</v>
      </c>
    </row>
    <row r="5" spans="1:7" ht="22" x14ac:dyDescent="0.3">
      <c r="A5" s="3" t="s">
        <v>85</v>
      </c>
      <c r="B5" s="4" t="s">
        <v>35</v>
      </c>
      <c r="C5" s="4">
        <v>11.7</v>
      </c>
      <c r="D5" s="4">
        <v>7.6</v>
      </c>
      <c r="E5" s="4">
        <v>1.02</v>
      </c>
      <c r="F5" s="4">
        <v>4.0999999999999996</v>
      </c>
      <c r="G5" s="4">
        <f>ROUND(Table1[[#This Row],[value]]/MAX( Table1[[#This Row],[rank_std_dev]], 1), 1)</f>
        <v>4</v>
      </c>
    </row>
    <row r="6" spans="1:7" ht="22" x14ac:dyDescent="0.3">
      <c r="A6" s="3" t="s">
        <v>19</v>
      </c>
      <c r="B6" s="4" t="s">
        <v>7</v>
      </c>
      <c r="C6" s="4">
        <v>82.7</v>
      </c>
      <c r="D6" s="4">
        <v>55.2</v>
      </c>
      <c r="E6" s="4">
        <v>7.52</v>
      </c>
      <c r="F6" s="4">
        <v>27.5</v>
      </c>
      <c r="G6" s="4">
        <f>ROUND(Table1[[#This Row],[value]]/MAX( Table1[[#This Row],[rank_std_dev]], 1), 1)</f>
        <v>3.7</v>
      </c>
    </row>
    <row r="7" spans="1:7" ht="22" x14ac:dyDescent="0.3">
      <c r="A7" s="3" t="s">
        <v>22</v>
      </c>
      <c r="B7" s="4" t="s">
        <v>7</v>
      </c>
      <c r="C7" s="4">
        <v>122.5</v>
      </c>
      <c r="D7" s="4">
        <v>96.8</v>
      </c>
      <c r="E7" s="4">
        <v>7.29</v>
      </c>
      <c r="F7" s="4">
        <v>25.7</v>
      </c>
      <c r="G7" s="4">
        <f>ROUND(Table1[[#This Row],[value]]/MAX( Table1[[#This Row],[rank_std_dev]], 1), 1)</f>
        <v>3.5</v>
      </c>
    </row>
    <row r="8" spans="1:7" ht="22" x14ac:dyDescent="0.3">
      <c r="A8" s="3" t="s">
        <v>21</v>
      </c>
      <c r="B8" s="4" t="s">
        <v>16</v>
      </c>
      <c r="C8" s="4">
        <v>76.5</v>
      </c>
      <c r="D8" s="4">
        <v>49.4</v>
      </c>
      <c r="E8" s="4">
        <v>8.11</v>
      </c>
      <c r="F8" s="4">
        <v>27.1</v>
      </c>
      <c r="G8" s="4">
        <f>ROUND(Table1[[#This Row],[value]]/MAX( Table1[[#This Row],[rank_std_dev]], 1), 1)</f>
        <v>3.3</v>
      </c>
    </row>
    <row r="9" spans="1:7" ht="22" x14ac:dyDescent="0.3">
      <c r="A9" s="3" t="s">
        <v>29</v>
      </c>
      <c r="B9" s="4" t="s">
        <v>11</v>
      </c>
      <c r="C9" s="4">
        <v>108</v>
      </c>
      <c r="D9" s="4">
        <v>85.6</v>
      </c>
      <c r="E9" s="4">
        <v>6.71</v>
      </c>
      <c r="F9" s="4">
        <v>22.4</v>
      </c>
      <c r="G9" s="4">
        <f>ROUND(Table1[[#This Row],[value]]/MAX( Table1[[#This Row],[rank_std_dev]], 1), 1)</f>
        <v>3.3</v>
      </c>
    </row>
    <row r="10" spans="1:7" ht="22" x14ac:dyDescent="0.3">
      <c r="A10" s="3" t="s">
        <v>17</v>
      </c>
      <c r="B10" s="4" t="s">
        <v>9</v>
      </c>
      <c r="C10" s="4">
        <v>82.6</v>
      </c>
      <c r="D10" s="4">
        <v>53.6</v>
      </c>
      <c r="E10" s="4">
        <v>9.0500000000000007</v>
      </c>
      <c r="F10" s="4">
        <v>29</v>
      </c>
      <c r="G10" s="4">
        <f>ROUND(Table1[[#This Row],[value]]/MAX( Table1[[#This Row],[rank_std_dev]], 1), 1)</f>
        <v>3.2</v>
      </c>
    </row>
    <row r="11" spans="1:7" ht="22" x14ac:dyDescent="0.3">
      <c r="A11" s="3" t="s">
        <v>12</v>
      </c>
      <c r="B11" s="4" t="s">
        <v>13</v>
      </c>
      <c r="C11" s="4">
        <v>77.2</v>
      </c>
      <c r="D11" s="4">
        <v>43.4</v>
      </c>
      <c r="E11" s="4">
        <v>11.02</v>
      </c>
      <c r="F11" s="4">
        <v>33.799999999999997</v>
      </c>
      <c r="G11" s="4">
        <f>ROUND(Table1[[#This Row],[value]]/MAX( Table1[[#This Row],[rank_std_dev]], 1), 1)</f>
        <v>3.1</v>
      </c>
    </row>
    <row r="12" spans="1:7" ht="22" x14ac:dyDescent="0.3">
      <c r="A12" s="3" t="s">
        <v>39</v>
      </c>
      <c r="B12" s="4" t="s">
        <v>7</v>
      </c>
      <c r="C12" s="4">
        <v>86.2</v>
      </c>
      <c r="D12" s="4">
        <v>67.599999999999994</v>
      </c>
      <c r="E12" s="4">
        <v>6.28</v>
      </c>
      <c r="F12" s="4">
        <v>18.600000000000001</v>
      </c>
      <c r="G12" s="4">
        <f>ROUND(Table1[[#This Row],[value]]/MAX( Table1[[#This Row],[rank_std_dev]], 1), 1)</f>
        <v>3</v>
      </c>
    </row>
    <row r="13" spans="1:7" ht="22" x14ac:dyDescent="0.3">
      <c r="A13" s="3" t="s">
        <v>38</v>
      </c>
      <c r="B13" s="4" t="s">
        <v>9</v>
      </c>
      <c r="C13" s="4">
        <v>101.8</v>
      </c>
      <c r="D13" s="4">
        <v>83</v>
      </c>
      <c r="E13" s="4">
        <v>6.42</v>
      </c>
      <c r="F13" s="4">
        <v>18.8</v>
      </c>
      <c r="G13" s="4">
        <f>ROUND(Table1[[#This Row],[value]]/MAX( Table1[[#This Row],[rank_std_dev]], 1), 1)</f>
        <v>2.9</v>
      </c>
    </row>
    <row r="14" spans="1:7" ht="22" x14ac:dyDescent="0.3">
      <c r="A14" s="3" t="s">
        <v>34</v>
      </c>
      <c r="B14" s="4" t="s">
        <v>35</v>
      </c>
      <c r="C14" s="4">
        <v>84</v>
      </c>
      <c r="D14" s="4">
        <v>64.599999999999994</v>
      </c>
      <c r="E14" s="4">
        <v>7</v>
      </c>
      <c r="F14" s="4">
        <v>19.399999999999999</v>
      </c>
      <c r="G14" s="4">
        <f>ROUND(Table1[[#This Row],[value]]/MAX( Table1[[#This Row],[rank_std_dev]], 1), 1)</f>
        <v>2.8</v>
      </c>
    </row>
    <row r="15" spans="1:7" ht="22" x14ac:dyDescent="0.3">
      <c r="A15" s="3" t="s">
        <v>15</v>
      </c>
      <c r="B15" s="4" t="s">
        <v>16</v>
      </c>
      <c r="C15" s="4">
        <v>112.9</v>
      </c>
      <c r="D15" s="4">
        <v>81.8</v>
      </c>
      <c r="E15" s="4">
        <v>11.23</v>
      </c>
      <c r="F15" s="4">
        <v>31.1</v>
      </c>
      <c r="G15" s="4">
        <f>ROUND(Table1[[#This Row],[value]]/MAX( Table1[[#This Row],[rank_std_dev]], 1), 1)</f>
        <v>2.8</v>
      </c>
    </row>
    <row r="16" spans="1:7" ht="22" x14ac:dyDescent="0.3">
      <c r="A16" s="3" t="s">
        <v>45</v>
      </c>
      <c r="B16" s="4" t="s">
        <v>28</v>
      </c>
      <c r="C16" s="4">
        <v>127.3</v>
      </c>
      <c r="D16" s="4">
        <v>111.6</v>
      </c>
      <c r="E16" s="4">
        <v>5.95</v>
      </c>
      <c r="F16" s="4">
        <v>15.7</v>
      </c>
      <c r="G16" s="4">
        <f>ROUND(Table1[[#This Row],[value]]/MAX( Table1[[#This Row],[rank_std_dev]], 1), 1)</f>
        <v>2.6</v>
      </c>
    </row>
    <row r="17" spans="1:7" ht="22" x14ac:dyDescent="0.3">
      <c r="A17" s="3" t="s">
        <v>30</v>
      </c>
      <c r="B17" s="4" t="s">
        <v>28</v>
      </c>
      <c r="C17" s="4">
        <v>71.900000000000006</v>
      </c>
      <c r="D17" s="4">
        <v>51.2</v>
      </c>
      <c r="E17" s="4">
        <v>7.98</v>
      </c>
      <c r="F17" s="4">
        <v>20.7</v>
      </c>
      <c r="G17" s="4">
        <f>ROUND(Table1[[#This Row],[value]]/MAX( Table1[[#This Row],[rank_std_dev]], 1), 1)</f>
        <v>2.6</v>
      </c>
    </row>
    <row r="18" spans="1:7" ht="22" x14ac:dyDescent="0.3">
      <c r="A18" s="3" t="s">
        <v>49</v>
      </c>
      <c r="B18" s="4" t="s">
        <v>16</v>
      </c>
      <c r="C18" s="4">
        <v>72.8</v>
      </c>
      <c r="D18" s="4">
        <v>60.6</v>
      </c>
      <c r="E18" s="4">
        <v>4.76</v>
      </c>
      <c r="F18" s="4">
        <v>12.2</v>
      </c>
      <c r="G18" s="4">
        <f>ROUND(Table1[[#This Row],[value]]/MAX( Table1[[#This Row],[rank_std_dev]], 1), 1)</f>
        <v>2.6</v>
      </c>
    </row>
    <row r="19" spans="1:7" ht="22" x14ac:dyDescent="0.3">
      <c r="A19" s="3" t="s">
        <v>10</v>
      </c>
      <c r="B19" s="4" t="s">
        <v>11</v>
      </c>
      <c r="C19" s="4">
        <v>89.6</v>
      </c>
      <c r="D19" s="4">
        <v>55.4</v>
      </c>
      <c r="E19" s="4">
        <v>13.66</v>
      </c>
      <c r="F19" s="4">
        <v>34.200000000000003</v>
      </c>
      <c r="G19" s="4">
        <f>ROUND(Table1[[#This Row],[value]]/MAX( Table1[[#This Row],[rank_std_dev]], 1), 1)</f>
        <v>2.5</v>
      </c>
    </row>
    <row r="20" spans="1:7" ht="22" x14ac:dyDescent="0.3">
      <c r="A20" s="3" t="s">
        <v>46</v>
      </c>
      <c r="B20" s="4" t="s">
        <v>42</v>
      </c>
      <c r="C20" s="4">
        <v>62.2</v>
      </c>
      <c r="D20" s="4">
        <v>47</v>
      </c>
      <c r="E20" s="4">
        <v>6.45</v>
      </c>
      <c r="F20" s="4">
        <v>15.2</v>
      </c>
      <c r="G20" s="4">
        <f>ROUND(Table1[[#This Row],[value]]/MAX( Table1[[#This Row],[rank_std_dev]], 1), 1)</f>
        <v>2.4</v>
      </c>
    </row>
    <row r="21" spans="1:7" ht="22" x14ac:dyDescent="0.3">
      <c r="A21" s="3" t="s">
        <v>74</v>
      </c>
      <c r="B21" s="4" t="s">
        <v>16</v>
      </c>
      <c r="C21" s="4">
        <v>111.9</v>
      </c>
      <c r="D21" s="4">
        <v>105.2</v>
      </c>
      <c r="E21" s="4">
        <v>2.86</v>
      </c>
      <c r="F21" s="4">
        <v>6.7</v>
      </c>
      <c r="G21" s="4">
        <f>ROUND(Table1[[#This Row],[value]]/MAX( Table1[[#This Row],[rank_std_dev]], 1), 1)</f>
        <v>2.2999999999999998</v>
      </c>
    </row>
    <row r="22" spans="1:7" ht="22" x14ac:dyDescent="0.3">
      <c r="A22" s="3" t="s">
        <v>23</v>
      </c>
      <c r="B22" s="4" t="s">
        <v>9</v>
      </c>
      <c r="C22" s="4">
        <v>109.3</v>
      </c>
      <c r="D22" s="4">
        <v>83.8</v>
      </c>
      <c r="E22" s="4">
        <v>10.96</v>
      </c>
      <c r="F22" s="4">
        <v>25.5</v>
      </c>
      <c r="G22" s="4">
        <f>ROUND(Table1[[#This Row],[value]]/MAX( Table1[[#This Row],[rank_std_dev]], 1), 1)</f>
        <v>2.2999999999999998</v>
      </c>
    </row>
    <row r="23" spans="1:7" ht="22" x14ac:dyDescent="0.3">
      <c r="A23" s="3" t="s">
        <v>94</v>
      </c>
      <c r="B23" s="4" t="s">
        <v>42</v>
      </c>
      <c r="C23" s="4">
        <v>9.9</v>
      </c>
      <c r="D23" s="4">
        <v>7.6</v>
      </c>
      <c r="E23" s="4">
        <v>1.02</v>
      </c>
      <c r="F23" s="4">
        <v>2.2999999999999998</v>
      </c>
      <c r="G23" s="4">
        <f>ROUND(Table1[[#This Row],[value]]/MAX( Table1[[#This Row],[rank_std_dev]], 1), 1)</f>
        <v>2.2999999999999998</v>
      </c>
    </row>
    <row r="24" spans="1:7" ht="22" x14ac:dyDescent="0.3">
      <c r="A24" s="3" t="s">
        <v>54</v>
      </c>
      <c r="B24" s="4" t="s">
        <v>55</v>
      </c>
      <c r="C24" s="4">
        <v>32.6</v>
      </c>
      <c r="D24" s="4">
        <v>21.2</v>
      </c>
      <c r="E24" s="4">
        <v>5.19</v>
      </c>
      <c r="F24" s="4">
        <v>11.4</v>
      </c>
      <c r="G24" s="4">
        <f>ROUND(Table1[[#This Row],[value]]/MAX( Table1[[#This Row],[rank_std_dev]], 1), 1)</f>
        <v>2.2000000000000002</v>
      </c>
    </row>
    <row r="25" spans="1:7" ht="22" x14ac:dyDescent="0.3">
      <c r="A25" s="3" t="s">
        <v>58</v>
      </c>
      <c r="B25" s="4" t="s">
        <v>7</v>
      </c>
      <c r="C25" s="4">
        <v>25.8</v>
      </c>
      <c r="D25" s="4">
        <v>14.8</v>
      </c>
      <c r="E25" s="4">
        <v>5.19</v>
      </c>
      <c r="F25" s="4">
        <v>11</v>
      </c>
      <c r="G25" s="4">
        <f>ROUND(Table1[[#This Row],[value]]/MAX( Table1[[#This Row],[rank_std_dev]], 1), 1)</f>
        <v>2.1</v>
      </c>
    </row>
    <row r="26" spans="1:7" ht="22" x14ac:dyDescent="0.3">
      <c r="A26" s="3" t="s">
        <v>18</v>
      </c>
      <c r="B26" s="4" t="s">
        <v>7</v>
      </c>
      <c r="C26" s="4">
        <v>87.2</v>
      </c>
      <c r="D26" s="4">
        <v>58.8</v>
      </c>
      <c r="E26" s="4">
        <v>13.59</v>
      </c>
      <c r="F26" s="4">
        <v>28.4</v>
      </c>
      <c r="G26" s="4">
        <f>ROUND(Table1[[#This Row],[value]]/MAX( Table1[[#This Row],[rank_std_dev]], 1), 1)</f>
        <v>2.1</v>
      </c>
    </row>
    <row r="27" spans="1:7" ht="22" x14ac:dyDescent="0.3">
      <c r="A27" s="3" t="s">
        <v>24</v>
      </c>
      <c r="B27" s="4" t="s">
        <v>7</v>
      </c>
      <c r="C27" s="4">
        <v>111.5</v>
      </c>
      <c r="D27" s="4">
        <v>87.8</v>
      </c>
      <c r="E27" s="4">
        <v>11.75</v>
      </c>
      <c r="F27" s="4">
        <v>23.7</v>
      </c>
      <c r="G27" s="4">
        <f>ROUND(Table1[[#This Row],[value]]/MAX( Table1[[#This Row],[rank_std_dev]], 1), 1)</f>
        <v>2</v>
      </c>
    </row>
    <row r="28" spans="1:7" ht="22" x14ac:dyDescent="0.3">
      <c r="A28" s="3" t="s">
        <v>25</v>
      </c>
      <c r="B28" s="4" t="s">
        <v>7</v>
      </c>
      <c r="C28" s="4">
        <v>132.6</v>
      </c>
      <c r="D28" s="4">
        <v>109</v>
      </c>
      <c r="E28" s="4">
        <v>12.98</v>
      </c>
      <c r="F28" s="4">
        <v>23.6</v>
      </c>
      <c r="G28" s="4">
        <f>ROUND(Table1[[#This Row],[value]]/MAX( Table1[[#This Row],[rank_std_dev]], 1), 1)</f>
        <v>1.8</v>
      </c>
    </row>
    <row r="29" spans="1:7" ht="22" x14ac:dyDescent="0.3">
      <c r="A29" s="3" t="s">
        <v>36</v>
      </c>
      <c r="B29" s="4" t="s">
        <v>9</v>
      </c>
      <c r="C29" s="4">
        <v>93.9</v>
      </c>
      <c r="D29" s="4">
        <v>74.8</v>
      </c>
      <c r="E29" s="4">
        <v>10.51</v>
      </c>
      <c r="F29" s="4">
        <v>19.100000000000001</v>
      </c>
      <c r="G29" s="4">
        <f>ROUND(Table1[[#This Row],[value]]/MAX( Table1[[#This Row],[rank_std_dev]], 1), 1)</f>
        <v>1.8</v>
      </c>
    </row>
    <row r="30" spans="1:7" ht="22" x14ac:dyDescent="0.3">
      <c r="A30" s="3" t="s">
        <v>37</v>
      </c>
      <c r="B30" s="4" t="s">
        <v>11</v>
      </c>
      <c r="C30" s="4">
        <v>92.8</v>
      </c>
      <c r="D30" s="4">
        <v>73.8</v>
      </c>
      <c r="E30" s="4">
        <v>11.23</v>
      </c>
      <c r="F30" s="4">
        <v>19</v>
      </c>
      <c r="G30" s="4">
        <f>ROUND(Table1[[#This Row],[value]]/MAX( Table1[[#This Row],[rank_std_dev]], 1), 1)</f>
        <v>1.7</v>
      </c>
    </row>
    <row r="31" spans="1:7" ht="22" x14ac:dyDescent="0.3">
      <c r="A31" s="3" t="s">
        <v>32</v>
      </c>
      <c r="B31" s="4" t="s">
        <v>33</v>
      </c>
      <c r="C31" s="4">
        <v>124.3</v>
      </c>
      <c r="D31" s="4">
        <v>104.8</v>
      </c>
      <c r="E31" s="4">
        <v>11.72</v>
      </c>
      <c r="F31" s="4">
        <v>19.5</v>
      </c>
      <c r="G31" s="4">
        <f>ROUND(Table1[[#This Row],[value]]/MAX( Table1[[#This Row],[rank_std_dev]], 1), 1)</f>
        <v>1.7</v>
      </c>
    </row>
    <row r="32" spans="1:7" ht="22" x14ac:dyDescent="0.3">
      <c r="A32" s="3" t="s">
        <v>41</v>
      </c>
      <c r="B32" s="4" t="s">
        <v>42</v>
      </c>
      <c r="C32" s="4">
        <v>125.7</v>
      </c>
      <c r="D32" s="4">
        <v>108.2</v>
      </c>
      <c r="E32" s="4">
        <v>10.68</v>
      </c>
      <c r="F32" s="4">
        <v>17.5</v>
      </c>
      <c r="G32" s="4">
        <f>ROUND(Table1[[#This Row],[value]]/MAX( Table1[[#This Row],[rank_std_dev]], 1), 1)</f>
        <v>1.6</v>
      </c>
    </row>
    <row r="33" spans="1:7" ht="22" x14ac:dyDescent="0.3">
      <c r="A33" s="3" t="s">
        <v>70</v>
      </c>
      <c r="B33" s="4" t="s">
        <v>9</v>
      </c>
      <c r="C33" s="4">
        <v>25.5</v>
      </c>
      <c r="D33" s="4">
        <v>18.2</v>
      </c>
      <c r="E33" s="4">
        <v>4.53</v>
      </c>
      <c r="F33" s="4">
        <v>7.3</v>
      </c>
      <c r="G33" s="4">
        <f>ROUND(Table1[[#This Row],[value]]/MAX( Table1[[#This Row],[rank_std_dev]], 1), 1)</f>
        <v>1.6</v>
      </c>
    </row>
    <row r="34" spans="1:7" ht="22" x14ac:dyDescent="0.3">
      <c r="A34" s="3" t="s">
        <v>43</v>
      </c>
      <c r="B34" s="4" t="s">
        <v>28</v>
      </c>
      <c r="C34" s="4">
        <v>76.400000000000006</v>
      </c>
      <c r="D34" s="4">
        <v>59</v>
      </c>
      <c r="E34" s="4">
        <v>11.08</v>
      </c>
      <c r="F34" s="4">
        <v>17.399999999999999</v>
      </c>
      <c r="G34" s="4">
        <f>ROUND(Table1[[#This Row],[value]]/MAX( Table1[[#This Row],[rank_std_dev]], 1), 1)</f>
        <v>1.6</v>
      </c>
    </row>
    <row r="35" spans="1:7" ht="22" x14ac:dyDescent="0.3">
      <c r="A35" s="3" t="s">
        <v>84</v>
      </c>
      <c r="B35" s="4" t="s">
        <v>9</v>
      </c>
      <c r="C35" s="4">
        <v>131.9</v>
      </c>
      <c r="D35" s="4">
        <v>127.4</v>
      </c>
      <c r="E35" s="4">
        <v>3.01</v>
      </c>
      <c r="F35" s="4">
        <v>4.5</v>
      </c>
      <c r="G35" s="4">
        <f>ROUND(Table1[[#This Row],[value]]/MAX( Table1[[#This Row],[rank_std_dev]], 1), 1)</f>
        <v>1.5</v>
      </c>
    </row>
    <row r="36" spans="1:7" ht="22" x14ac:dyDescent="0.3">
      <c r="A36" s="3" t="s">
        <v>50</v>
      </c>
      <c r="B36" s="4" t="s">
        <v>35</v>
      </c>
      <c r="C36" s="4">
        <v>65</v>
      </c>
      <c r="D36" s="4">
        <v>53</v>
      </c>
      <c r="E36" s="4">
        <v>8.2899999999999991</v>
      </c>
      <c r="F36" s="4">
        <v>12</v>
      </c>
      <c r="G36" s="4">
        <f>ROUND(Table1[[#This Row],[value]]/MAX( Table1[[#This Row],[rank_std_dev]], 1), 1)</f>
        <v>1.4</v>
      </c>
    </row>
    <row r="37" spans="1:7" ht="22" x14ac:dyDescent="0.3">
      <c r="A37" s="3" t="s">
        <v>8</v>
      </c>
      <c r="B37" s="4" t="s">
        <v>9</v>
      </c>
      <c r="C37" s="4">
        <v>136.69999999999999</v>
      </c>
      <c r="D37" s="4">
        <v>102.4</v>
      </c>
      <c r="E37" s="4">
        <v>24.18</v>
      </c>
      <c r="F37" s="4">
        <v>34.299999999999997</v>
      </c>
      <c r="G37" s="4">
        <f>ROUND(Table1[[#This Row],[value]]/MAX( Table1[[#This Row],[rank_std_dev]], 1), 1)</f>
        <v>1.4</v>
      </c>
    </row>
    <row r="38" spans="1:7" ht="22" x14ac:dyDescent="0.3">
      <c r="A38" s="3" t="s">
        <v>63</v>
      </c>
      <c r="B38" s="4" t="s">
        <v>52</v>
      </c>
      <c r="C38" s="4">
        <v>135.1</v>
      </c>
      <c r="D38" s="4">
        <v>125</v>
      </c>
      <c r="E38" s="4">
        <v>7.69</v>
      </c>
      <c r="F38" s="4">
        <v>10.1</v>
      </c>
      <c r="G38" s="4">
        <f>ROUND(Table1[[#This Row],[value]]/MAX( Table1[[#This Row],[rank_std_dev]], 1), 1)</f>
        <v>1.3</v>
      </c>
    </row>
    <row r="39" spans="1:7" ht="22" x14ac:dyDescent="0.3">
      <c r="A39" s="3" t="s">
        <v>6</v>
      </c>
      <c r="B39" s="4" t="s">
        <v>7</v>
      </c>
      <c r="C39" s="4">
        <v>124.8</v>
      </c>
      <c r="D39" s="4">
        <v>88.2</v>
      </c>
      <c r="E39" s="4">
        <v>27.98</v>
      </c>
      <c r="F39" s="4">
        <v>36.6</v>
      </c>
      <c r="G39" s="4">
        <f>ROUND(Table1[[#This Row],[value]]/MAX( Table1[[#This Row],[rank_std_dev]], 1), 1)</f>
        <v>1.3</v>
      </c>
    </row>
    <row r="40" spans="1:7" ht="22" x14ac:dyDescent="0.3">
      <c r="A40" s="3" t="s">
        <v>65</v>
      </c>
      <c r="B40" s="4" t="s">
        <v>33</v>
      </c>
      <c r="C40" s="4">
        <v>36.799999999999997</v>
      </c>
      <c r="D40" s="4">
        <v>27.2</v>
      </c>
      <c r="E40" s="4">
        <v>7.78</v>
      </c>
      <c r="F40" s="4">
        <v>9.6</v>
      </c>
      <c r="G40" s="4">
        <f>ROUND(Table1[[#This Row],[value]]/MAX( Table1[[#This Row],[rank_std_dev]], 1), 1)</f>
        <v>1.2</v>
      </c>
    </row>
    <row r="41" spans="1:7" ht="22" x14ac:dyDescent="0.3">
      <c r="A41" s="3" t="s">
        <v>101</v>
      </c>
      <c r="B41" s="4" t="s">
        <v>55</v>
      </c>
      <c r="C41" s="4">
        <v>3.8</v>
      </c>
      <c r="D41" s="4">
        <v>2.6</v>
      </c>
      <c r="E41" s="4">
        <v>0.49</v>
      </c>
      <c r="F41" s="4">
        <v>1.2</v>
      </c>
      <c r="G41" s="4">
        <f>ROUND(Table1[[#This Row],[value]]/MAX( Table1[[#This Row],[rank_std_dev]], 1), 1)</f>
        <v>1.2</v>
      </c>
    </row>
    <row r="42" spans="1:7" ht="22" x14ac:dyDescent="0.3">
      <c r="A42" s="3" t="s">
        <v>40</v>
      </c>
      <c r="B42" s="4" t="s">
        <v>28</v>
      </c>
      <c r="C42" s="4">
        <v>104.8</v>
      </c>
      <c r="D42" s="4">
        <v>87.2</v>
      </c>
      <c r="E42" s="4">
        <v>14.8</v>
      </c>
      <c r="F42" s="4">
        <v>17.600000000000001</v>
      </c>
      <c r="G42" s="4">
        <f>ROUND(Table1[[#This Row],[value]]/MAX( Table1[[#This Row],[rank_std_dev]], 1), 1)</f>
        <v>1.2</v>
      </c>
    </row>
    <row r="43" spans="1:7" ht="22" x14ac:dyDescent="0.3">
      <c r="A43" s="3" t="s">
        <v>72</v>
      </c>
      <c r="B43" s="4" t="s">
        <v>7</v>
      </c>
      <c r="C43" s="4">
        <v>83.3</v>
      </c>
      <c r="D43" s="4">
        <v>76.2</v>
      </c>
      <c r="E43" s="4">
        <v>5.98</v>
      </c>
      <c r="F43" s="4">
        <v>7.1</v>
      </c>
      <c r="G43" s="4">
        <f>ROUND(Table1[[#This Row],[value]]/MAX( Table1[[#This Row],[rank_std_dev]], 1), 1)</f>
        <v>1.2</v>
      </c>
    </row>
    <row r="44" spans="1:7" ht="22" x14ac:dyDescent="0.3">
      <c r="A44" s="3" t="s">
        <v>66</v>
      </c>
      <c r="B44" s="4" t="s">
        <v>28</v>
      </c>
      <c r="C44" s="4">
        <v>105.9</v>
      </c>
      <c r="D44" s="4">
        <v>96.6</v>
      </c>
      <c r="E44" s="4">
        <v>7.96</v>
      </c>
      <c r="F44" s="4">
        <v>9.3000000000000007</v>
      </c>
      <c r="G44" s="4">
        <f>ROUND(Table1[[#This Row],[value]]/MAX( Table1[[#This Row],[rank_std_dev]], 1), 1)</f>
        <v>1.2</v>
      </c>
    </row>
    <row r="45" spans="1:7" ht="22" x14ac:dyDescent="0.3">
      <c r="A45" s="3" t="s">
        <v>53</v>
      </c>
      <c r="B45" s="4" t="s">
        <v>52</v>
      </c>
      <c r="C45" s="4">
        <v>123.2</v>
      </c>
      <c r="D45" s="4">
        <v>111.4</v>
      </c>
      <c r="E45" s="4">
        <v>10.61</v>
      </c>
      <c r="F45" s="4">
        <v>11.8</v>
      </c>
      <c r="G45" s="4">
        <f>ROUND(Table1[[#This Row],[value]]/MAX( Table1[[#This Row],[rank_std_dev]], 1), 1)</f>
        <v>1.1000000000000001</v>
      </c>
    </row>
    <row r="46" spans="1:7" ht="22" x14ac:dyDescent="0.3">
      <c r="A46" s="3" t="s">
        <v>59</v>
      </c>
      <c r="B46" s="4" t="s">
        <v>60</v>
      </c>
      <c r="C46" s="4">
        <v>89.5</v>
      </c>
      <c r="D46" s="4">
        <v>78.599999999999994</v>
      </c>
      <c r="E46" s="4">
        <v>10.31</v>
      </c>
      <c r="F46" s="4">
        <v>10.9</v>
      </c>
      <c r="G46" s="4">
        <f>ROUND(Table1[[#This Row],[value]]/MAX( Table1[[#This Row],[rank_std_dev]], 1), 1)</f>
        <v>1.1000000000000001</v>
      </c>
    </row>
    <row r="47" spans="1:7" ht="22" x14ac:dyDescent="0.3">
      <c r="A47" s="3" t="s">
        <v>77</v>
      </c>
      <c r="B47" s="4" t="s">
        <v>28</v>
      </c>
      <c r="C47" s="4">
        <v>39.700000000000003</v>
      </c>
      <c r="D47" s="4">
        <v>33.4</v>
      </c>
      <c r="E47" s="4">
        <v>6.02</v>
      </c>
      <c r="F47" s="4">
        <v>6.3</v>
      </c>
      <c r="G47" s="4">
        <f>ROUND(Table1[[#This Row],[value]]/MAX( Table1[[#This Row],[rank_std_dev]], 1), 1)</f>
        <v>1</v>
      </c>
    </row>
    <row r="48" spans="1:7" ht="22" x14ac:dyDescent="0.3">
      <c r="A48" s="3" t="s">
        <v>71</v>
      </c>
      <c r="B48" s="4" t="s">
        <v>16</v>
      </c>
      <c r="C48" s="4">
        <v>41.5</v>
      </c>
      <c r="D48" s="4">
        <v>34.200000000000003</v>
      </c>
      <c r="E48" s="4">
        <v>7.14</v>
      </c>
      <c r="F48" s="4">
        <v>7.3</v>
      </c>
      <c r="G48" s="4">
        <f>ROUND(Table1[[#This Row],[value]]/MAX( Table1[[#This Row],[rank_std_dev]], 1), 1)</f>
        <v>1</v>
      </c>
    </row>
    <row r="49" spans="1:7" ht="22" x14ac:dyDescent="0.3">
      <c r="A49" s="3" t="s">
        <v>56</v>
      </c>
      <c r="B49" s="4" t="s">
        <v>7</v>
      </c>
      <c r="C49" s="4">
        <v>120</v>
      </c>
      <c r="D49" s="4">
        <v>108.6</v>
      </c>
      <c r="E49" s="4">
        <v>11.31</v>
      </c>
      <c r="F49" s="4">
        <v>11.4</v>
      </c>
      <c r="G49" s="4">
        <f>ROUND(Table1[[#This Row],[value]]/MAX( Table1[[#This Row],[rank_std_dev]], 1), 1)</f>
        <v>1</v>
      </c>
    </row>
    <row r="50" spans="1:7" ht="22" x14ac:dyDescent="0.3">
      <c r="A50" s="3" t="s">
        <v>44</v>
      </c>
      <c r="B50" s="4" t="s">
        <v>11</v>
      </c>
      <c r="C50" s="4">
        <v>63.3</v>
      </c>
      <c r="D50" s="4">
        <v>46.2</v>
      </c>
      <c r="E50" s="4">
        <v>17.45</v>
      </c>
      <c r="F50" s="4">
        <v>17.100000000000001</v>
      </c>
      <c r="G50" s="4">
        <f>ROUND(Table1[[#This Row],[value]]/MAX( Table1[[#This Row],[rank_std_dev]], 1), 1)</f>
        <v>1</v>
      </c>
    </row>
    <row r="51" spans="1:7" ht="22" x14ac:dyDescent="0.3">
      <c r="A51" s="3" t="s">
        <v>26</v>
      </c>
      <c r="B51" s="4" t="s">
        <v>13</v>
      </c>
      <c r="C51" s="4">
        <v>111.3</v>
      </c>
      <c r="D51" s="4">
        <v>87.8</v>
      </c>
      <c r="E51" s="4">
        <v>24.6</v>
      </c>
      <c r="F51" s="4">
        <v>23.5</v>
      </c>
      <c r="G51" s="4">
        <f>ROUND(Table1[[#This Row],[value]]/MAX( Table1[[#This Row],[rank_std_dev]], 1), 1)</f>
        <v>1</v>
      </c>
    </row>
    <row r="52" spans="1:7" ht="22" x14ac:dyDescent="0.3">
      <c r="A52" s="3" t="s">
        <v>31</v>
      </c>
      <c r="B52" s="4" t="s">
        <v>7</v>
      </c>
      <c r="C52" s="4">
        <v>81.3</v>
      </c>
      <c r="D52" s="4">
        <v>61.8</v>
      </c>
      <c r="E52" s="4">
        <v>20.43</v>
      </c>
      <c r="F52" s="4">
        <v>19.5</v>
      </c>
      <c r="G52" s="4">
        <f>ROUND(Table1[[#This Row],[value]]/MAX( Table1[[#This Row],[rank_std_dev]], 1), 1)</f>
        <v>1</v>
      </c>
    </row>
    <row r="53" spans="1:7" ht="22" x14ac:dyDescent="0.3">
      <c r="A53" s="3" t="s">
        <v>62</v>
      </c>
      <c r="B53" s="4" t="s">
        <v>28</v>
      </c>
      <c r="C53" s="4">
        <v>101.1</v>
      </c>
      <c r="D53" s="4">
        <v>90.6</v>
      </c>
      <c r="E53" s="4">
        <v>11.02</v>
      </c>
      <c r="F53" s="4">
        <v>10.5</v>
      </c>
      <c r="G53" s="4">
        <f>ROUND(Table1[[#This Row],[value]]/MAX( Table1[[#This Row],[rank_std_dev]], 1), 1)</f>
        <v>1</v>
      </c>
    </row>
    <row r="54" spans="1:7" ht="22" x14ac:dyDescent="0.3">
      <c r="A54" s="3" t="s">
        <v>64</v>
      </c>
      <c r="B54" s="4" t="s">
        <v>7</v>
      </c>
      <c r="C54" s="4">
        <v>121.5</v>
      </c>
      <c r="D54" s="4">
        <v>111.8</v>
      </c>
      <c r="E54" s="4">
        <v>10.96</v>
      </c>
      <c r="F54" s="4">
        <v>9.6999999999999993</v>
      </c>
      <c r="G54" s="4">
        <f>ROUND(Table1[[#This Row],[value]]/MAX( Table1[[#This Row],[rank_std_dev]], 1), 1)</f>
        <v>0.9</v>
      </c>
    </row>
    <row r="55" spans="1:7" ht="22" x14ac:dyDescent="0.3">
      <c r="A55" s="3" t="s">
        <v>61</v>
      </c>
      <c r="B55" s="4" t="s">
        <v>28</v>
      </c>
      <c r="C55" s="4">
        <v>113.8</v>
      </c>
      <c r="D55" s="4">
        <v>103</v>
      </c>
      <c r="E55" s="4">
        <v>12.82</v>
      </c>
      <c r="F55" s="4">
        <v>10.8</v>
      </c>
      <c r="G55" s="4">
        <f>ROUND(Table1[[#This Row],[value]]/MAX( Table1[[#This Row],[rank_std_dev]], 1), 1)</f>
        <v>0.8</v>
      </c>
    </row>
    <row r="56" spans="1:7" ht="22" x14ac:dyDescent="0.3">
      <c r="A56" s="3" t="s">
        <v>83</v>
      </c>
      <c r="B56" s="4" t="s">
        <v>11</v>
      </c>
      <c r="C56" s="4">
        <v>31.6</v>
      </c>
      <c r="D56" s="4">
        <v>27</v>
      </c>
      <c r="E56" s="4">
        <v>5.62</v>
      </c>
      <c r="F56" s="4">
        <v>4.5999999999999996</v>
      </c>
      <c r="G56" s="4">
        <f>ROUND(Table1[[#This Row],[value]]/MAX( Table1[[#This Row],[rank_std_dev]], 1), 1)</f>
        <v>0.8</v>
      </c>
    </row>
    <row r="57" spans="1:7" ht="22" x14ac:dyDescent="0.3">
      <c r="A57" s="3" t="s">
        <v>79</v>
      </c>
      <c r="B57" s="4" t="s">
        <v>11</v>
      </c>
      <c r="C57" s="4">
        <v>30.3</v>
      </c>
      <c r="D57" s="4">
        <v>24.6</v>
      </c>
      <c r="E57" s="4">
        <v>7.28</v>
      </c>
      <c r="F57" s="4">
        <v>5.7</v>
      </c>
      <c r="G57" s="4">
        <f>ROUND(Table1[[#This Row],[value]]/MAX( Table1[[#This Row],[rank_std_dev]], 1), 1)</f>
        <v>0.8</v>
      </c>
    </row>
    <row r="58" spans="1:7" ht="22" x14ac:dyDescent="0.3">
      <c r="A58" s="3" t="s">
        <v>76</v>
      </c>
      <c r="B58" s="4" t="s">
        <v>11</v>
      </c>
      <c r="C58" s="4">
        <v>72.2</v>
      </c>
      <c r="D58" s="4">
        <v>65.8</v>
      </c>
      <c r="E58" s="4">
        <v>8.35</v>
      </c>
      <c r="F58" s="4">
        <v>6.4</v>
      </c>
      <c r="G58" s="4">
        <f>ROUND(Table1[[#This Row],[value]]/MAX( Table1[[#This Row],[rank_std_dev]], 1), 1)</f>
        <v>0.8</v>
      </c>
    </row>
    <row r="59" spans="1:7" ht="22" x14ac:dyDescent="0.3">
      <c r="A59" s="3" t="s">
        <v>47</v>
      </c>
      <c r="B59" s="4" t="s">
        <v>42</v>
      </c>
      <c r="C59" s="4">
        <v>42.5</v>
      </c>
      <c r="D59" s="4">
        <v>28.8</v>
      </c>
      <c r="E59" s="4">
        <v>18.28</v>
      </c>
      <c r="F59" s="4">
        <v>13.7</v>
      </c>
      <c r="G59" s="4">
        <f>ROUND(Table1[[#This Row],[value]]/MAX( Table1[[#This Row],[rank_std_dev]], 1), 1)</f>
        <v>0.7</v>
      </c>
    </row>
    <row r="60" spans="1:7" ht="22" x14ac:dyDescent="0.3">
      <c r="A60" s="3" t="s">
        <v>91</v>
      </c>
      <c r="B60" s="4" t="s">
        <v>7</v>
      </c>
      <c r="C60" s="4">
        <v>35.700000000000003</v>
      </c>
      <c r="D60" s="4">
        <v>32.799999999999997</v>
      </c>
      <c r="E60" s="4">
        <v>3.97</v>
      </c>
      <c r="F60" s="4">
        <v>2.9</v>
      </c>
      <c r="G60" s="4">
        <f>ROUND(Table1[[#This Row],[value]]/MAX( Table1[[#This Row],[rank_std_dev]], 1), 1)</f>
        <v>0.7</v>
      </c>
    </row>
    <row r="61" spans="1:7" ht="22" x14ac:dyDescent="0.3">
      <c r="A61" s="3" t="s">
        <v>75</v>
      </c>
      <c r="B61" s="4" t="s">
        <v>52</v>
      </c>
      <c r="C61" s="4">
        <v>86.7</v>
      </c>
      <c r="D61" s="4">
        <v>80.2</v>
      </c>
      <c r="E61" s="4">
        <v>9.11</v>
      </c>
      <c r="F61" s="4">
        <v>6.5</v>
      </c>
      <c r="G61" s="4">
        <f>ROUND(Table1[[#This Row],[value]]/MAX( Table1[[#This Row],[rank_std_dev]], 1), 1)</f>
        <v>0.7</v>
      </c>
    </row>
    <row r="62" spans="1:7" ht="22" x14ac:dyDescent="0.3">
      <c r="A62" s="3" t="s">
        <v>93</v>
      </c>
      <c r="B62" s="4" t="s">
        <v>13</v>
      </c>
      <c r="C62" s="4">
        <v>18</v>
      </c>
      <c r="D62" s="4">
        <v>15.6</v>
      </c>
      <c r="E62" s="4">
        <v>3.5</v>
      </c>
      <c r="F62" s="4">
        <v>2.4</v>
      </c>
      <c r="G62" s="4">
        <f>ROUND(Table1[[#This Row],[value]]/MAX( Table1[[#This Row],[rank_std_dev]], 1), 1)</f>
        <v>0.7</v>
      </c>
    </row>
    <row r="63" spans="1:7" ht="22" x14ac:dyDescent="0.3">
      <c r="A63" s="3" t="s">
        <v>48</v>
      </c>
      <c r="B63" s="4" t="s">
        <v>7</v>
      </c>
      <c r="C63" s="4">
        <v>135.9</v>
      </c>
      <c r="D63" s="4">
        <v>123.4</v>
      </c>
      <c r="E63" s="4">
        <v>20.48</v>
      </c>
      <c r="F63" s="4">
        <v>12.5</v>
      </c>
      <c r="G63" s="4">
        <f>ROUND(Table1[[#This Row],[value]]/MAX( Table1[[#This Row],[rank_std_dev]], 1), 1)</f>
        <v>0.6</v>
      </c>
    </row>
    <row r="64" spans="1:7" ht="22" x14ac:dyDescent="0.3">
      <c r="A64" s="3" t="s">
        <v>109</v>
      </c>
      <c r="B64" s="4" t="s">
        <v>7</v>
      </c>
      <c r="C64" s="4">
        <v>1.6</v>
      </c>
      <c r="D64" s="4">
        <v>1</v>
      </c>
      <c r="E64" s="4">
        <v>0</v>
      </c>
      <c r="F64" s="4">
        <v>0.6</v>
      </c>
      <c r="G64" s="4">
        <f>ROUND(Table1[[#This Row],[value]]/MAX( Table1[[#This Row],[rank_std_dev]], 1), 1)</f>
        <v>0.6</v>
      </c>
    </row>
    <row r="65" spans="1:7" ht="22" x14ac:dyDescent="0.3">
      <c r="A65" s="3" t="s">
        <v>73</v>
      </c>
      <c r="B65" s="4" t="s">
        <v>13</v>
      </c>
      <c r="C65" s="4">
        <v>125.6</v>
      </c>
      <c r="D65" s="4">
        <v>118.6</v>
      </c>
      <c r="E65" s="4">
        <v>11.88</v>
      </c>
      <c r="F65" s="4">
        <v>7</v>
      </c>
      <c r="G65" s="4">
        <f>ROUND(Table1[[#This Row],[value]]/MAX( Table1[[#This Row],[rank_std_dev]], 1), 1)</f>
        <v>0.6</v>
      </c>
    </row>
    <row r="66" spans="1:7" ht="22" x14ac:dyDescent="0.3">
      <c r="A66" s="3" t="s">
        <v>69</v>
      </c>
      <c r="B66" s="4" t="s">
        <v>16</v>
      </c>
      <c r="C66" s="4">
        <v>98.5</v>
      </c>
      <c r="D66" s="4">
        <v>90.6</v>
      </c>
      <c r="E66" s="4">
        <v>13.44</v>
      </c>
      <c r="F66" s="4">
        <v>7.9</v>
      </c>
      <c r="G66" s="4">
        <f>ROUND(Table1[[#This Row],[value]]/MAX( Table1[[#This Row],[rank_std_dev]], 1), 1)</f>
        <v>0.6</v>
      </c>
    </row>
    <row r="67" spans="1:7" ht="22" x14ac:dyDescent="0.3">
      <c r="A67" s="3" t="s">
        <v>78</v>
      </c>
      <c r="B67" s="4" t="s">
        <v>33</v>
      </c>
      <c r="C67" s="4">
        <v>64.400000000000006</v>
      </c>
      <c r="D67" s="4">
        <v>58.2</v>
      </c>
      <c r="E67" s="4">
        <v>11</v>
      </c>
      <c r="F67" s="4">
        <v>6.2</v>
      </c>
      <c r="G67" s="4">
        <f>ROUND(Table1[[#This Row],[value]]/MAX( Table1[[#This Row],[rank_std_dev]], 1), 1)</f>
        <v>0.6</v>
      </c>
    </row>
    <row r="68" spans="1:7" ht="22" x14ac:dyDescent="0.3">
      <c r="A68" s="3" t="s">
        <v>57</v>
      </c>
      <c r="B68" s="4" t="s">
        <v>52</v>
      </c>
      <c r="C68" s="4">
        <v>130.19999999999999</v>
      </c>
      <c r="D68" s="4">
        <v>118.8</v>
      </c>
      <c r="E68" s="4">
        <v>20.88</v>
      </c>
      <c r="F68" s="4">
        <v>11.4</v>
      </c>
      <c r="G68" s="4">
        <f>ROUND(Table1[[#This Row],[value]]/MAX( Table1[[#This Row],[rank_std_dev]], 1), 1)</f>
        <v>0.5</v>
      </c>
    </row>
    <row r="69" spans="1:7" ht="22" x14ac:dyDescent="0.3">
      <c r="A69" s="3" t="s">
        <v>98</v>
      </c>
      <c r="B69" s="4" t="s">
        <v>16</v>
      </c>
      <c r="C69" s="4">
        <v>12.5</v>
      </c>
      <c r="D69" s="4">
        <v>11.2</v>
      </c>
      <c r="E69" s="4">
        <v>2.48</v>
      </c>
      <c r="F69" s="4">
        <v>1.3</v>
      </c>
      <c r="G69" s="4">
        <f>ROUND(Table1[[#This Row],[value]]/MAX( Table1[[#This Row],[rank_std_dev]], 1), 1)</f>
        <v>0.5</v>
      </c>
    </row>
    <row r="70" spans="1:7" ht="22" x14ac:dyDescent="0.3">
      <c r="A70" s="3" t="s">
        <v>68</v>
      </c>
      <c r="B70" s="4" t="s">
        <v>9</v>
      </c>
      <c r="C70" s="4">
        <v>54.3</v>
      </c>
      <c r="D70" s="4">
        <v>46.4</v>
      </c>
      <c r="E70" s="4">
        <v>15.24</v>
      </c>
      <c r="F70" s="4">
        <v>7.9</v>
      </c>
      <c r="G70" s="4">
        <f>ROUND(Table1[[#This Row],[value]]/MAX( Table1[[#This Row],[rank_std_dev]], 1), 1)</f>
        <v>0.5</v>
      </c>
    </row>
    <row r="71" spans="1:7" ht="22" x14ac:dyDescent="0.3">
      <c r="A71" s="3" t="s">
        <v>51</v>
      </c>
      <c r="B71" s="4" t="s">
        <v>52</v>
      </c>
      <c r="C71" s="4">
        <v>107.4</v>
      </c>
      <c r="D71" s="4">
        <v>95.4</v>
      </c>
      <c r="E71" s="4">
        <v>23.24</v>
      </c>
      <c r="F71" s="4">
        <v>12</v>
      </c>
      <c r="G71" s="4">
        <f>ROUND(Table1[[#This Row],[value]]/MAX( Table1[[#This Row],[rank_std_dev]], 1), 1)</f>
        <v>0.5</v>
      </c>
    </row>
    <row r="72" spans="1:7" ht="22" x14ac:dyDescent="0.3">
      <c r="A72" s="3" t="s">
        <v>86</v>
      </c>
      <c r="B72" s="4" t="s">
        <v>9</v>
      </c>
      <c r="C72" s="4">
        <v>135</v>
      </c>
      <c r="D72" s="4">
        <v>131</v>
      </c>
      <c r="E72" s="4">
        <v>7.95</v>
      </c>
      <c r="F72" s="4">
        <v>4</v>
      </c>
      <c r="G72" s="4">
        <f>ROUND(Table1[[#This Row],[value]]/MAX( Table1[[#This Row],[rank_std_dev]], 1), 1)</f>
        <v>0.5</v>
      </c>
    </row>
    <row r="73" spans="1:7" ht="22" x14ac:dyDescent="0.3">
      <c r="A73" s="3" t="s">
        <v>95</v>
      </c>
      <c r="B73" s="4" t="s">
        <v>55</v>
      </c>
      <c r="C73" s="4">
        <v>23.1</v>
      </c>
      <c r="D73" s="4">
        <v>20.8</v>
      </c>
      <c r="E73" s="4">
        <v>4.87</v>
      </c>
      <c r="F73" s="4">
        <v>2.2999999999999998</v>
      </c>
      <c r="G73" s="4">
        <f>ROUND(Table1[[#This Row],[value]]/MAX( Table1[[#This Row],[rank_std_dev]], 1), 1)</f>
        <v>0.5</v>
      </c>
    </row>
    <row r="74" spans="1:7" ht="22" x14ac:dyDescent="0.3">
      <c r="A74" s="3" t="s">
        <v>80</v>
      </c>
      <c r="B74" s="4" t="s">
        <v>81</v>
      </c>
      <c r="C74" s="4">
        <v>83.6</v>
      </c>
      <c r="D74" s="4">
        <v>78.400000000000006</v>
      </c>
      <c r="E74" s="4">
        <v>12.04</v>
      </c>
      <c r="F74" s="4">
        <v>5.2</v>
      </c>
      <c r="G74" s="4">
        <f>ROUND(Table1[[#This Row],[value]]/MAX( Table1[[#This Row],[rank_std_dev]], 1), 1)</f>
        <v>0.4</v>
      </c>
    </row>
    <row r="75" spans="1:7" ht="22" x14ac:dyDescent="0.3">
      <c r="A75" s="3" t="s">
        <v>87</v>
      </c>
      <c r="B75" s="4" t="s">
        <v>55</v>
      </c>
      <c r="C75" s="4">
        <v>55.4</v>
      </c>
      <c r="D75" s="4">
        <v>51.6</v>
      </c>
      <c r="E75" s="4">
        <v>9.93</v>
      </c>
      <c r="F75" s="4">
        <v>3.8</v>
      </c>
      <c r="G75" s="4">
        <f>ROUND(Table1[[#This Row],[value]]/MAX( Table1[[#This Row],[rank_std_dev]], 1), 1)</f>
        <v>0.4</v>
      </c>
    </row>
    <row r="76" spans="1:7" ht="22" x14ac:dyDescent="0.3">
      <c r="A76" s="3" t="s">
        <v>88</v>
      </c>
      <c r="B76" s="4" t="s">
        <v>13</v>
      </c>
      <c r="C76" s="4">
        <v>93.6</v>
      </c>
      <c r="D76" s="4">
        <v>90</v>
      </c>
      <c r="E76" s="4">
        <v>9.4700000000000006</v>
      </c>
      <c r="F76" s="4">
        <v>3.6</v>
      </c>
      <c r="G76" s="4">
        <f>ROUND(Table1[[#This Row],[value]]/MAX( Table1[[#This Row],[rank_std_dev]], 1), 1)</f>
        <v>0.4</v>
      </c>
    </row>
    <row r="77" spans="1:7" ht="22" x14ac:dyDescent="0.3">
      <c r="A77" s="3" t="s">
        <v>67</v>
      </c>
      <c r="B77" s="4" t="s">
        <v>55</v>
      </c>
      <c r="C77" s="4">
        <v>75.900000000000006</v>
      </c>
      <c r="D77" s="4">
        <v>67</v>
      </c>
      <c r="E77" s="4">
        <v>24.02</v>
      </c>
      <c r="F77" s="4">
        <v>8.9</v>
      </c>
      <c r="G77" s="4">
        <f>ROUND(Table1[[#This Row],[value]]/MAX( Table1[[#This Row],[rank_std_dev]], 1), 1)</f>
        <v>0.4</v>
      </c>
    </row>
    <row r="78" spans="1:7" ht="22" x14ac:dyDescent="0.3">
      <c r="A78" s="3" t="s">
        <v>103</v>
      </c>
      <c r="B78" s="4" t="s">
        <v>55</v>
      </c>
      <c r="C78" s="4">
        <v>8.1</v>
      </c>
      <c r="D78" s="4">
        <v>7.2</v>
      </c>
      <c r="E78" s="4">
        <v>2.48</v>
      </c>
      <c r="F78" s="4">
        <v>0.9</v>
      </c>
      <c r="G78" s="4">
        <f>ROUND(Table1[[#This Row],[value]]/MAX( Table1[[#This Row],[rank_std_dev]], 1), 1)</f>
        <v>0.4</v>
      </c>
    </row>
    <row r="79" spans="1:7" ht="22" x14ac:dyDescent="0.3">
      <c r="A79" s="3" t="s">
        <v>82</v>
      </c>
      <c r="B79" s="4" t="s">
        <v>55</v>
      </c>
      <c r="C79" s="4">
        <v>81.400000000000006</v>
      </c>
      <c r="D79" s="4">
        <v>76.599999999999994</v>
      </c>
      <c r="E79" s="4">
        <v>18.940000000000001</v>
      </c>
      <c r="F79" s="4">
        <v>4.8</v>
      </c>
      <c r="G79" s="4">
        <f>ROUND(Table1[[#This Row],[value]]/MAX( Table1[[#This Row],[rank_std_dev]], 1), 1)</f>
        <v>0.3</v>
      </c>
    </row>
    <row r="80" spans="1:7" ht="22" x14ac:dyDescent="0.3">
      <c r="A80" s="3" t="s">
        <v>102</v>
      </c>
      <c r="B80" s="4" t="s">
        <v>9</v>
      </c>
      <c r="C80" s="4">
        <v>13.2</v>
      </c>
      <c r="D80" s="4">
        <v>12.2</v>
      </c>
      <c r="E80" s="4">
        <v>3.97</v>
      </c>
      <c r="F80" s="4">
        <v>1</v>
      </c>
      <c r="G80" s="4">
        <f>ROUND(Table1[[#This Row],[value]]/MAX( Table1[[#This Row],[rank_std_dev]], 1), 1)</f>
        <v>0.3</v>
      </c>
    </row>
    <row r="81" spans="1:7" ht="22" x14ac:dyDescent="0.3">
      <c r="A81" s="3" t="s">
        <v>97</v>
      </c>
      <c r="B81" s="4" t="s">
        <v>52</v>
      </c>
      <c r="C81" s="4">
        <v>50.6</v>
      </c>
      <c r="D81" s="4">
        <v>49.2</v>
      </c>
      <c r="E81" s="4">
        <v>5.91</v>
      </c>
      <c r="F81" s="4">
        <v>1.4</v>
      </c>
      <c r="G81" s="4">
        <f>ROUND(Table1[[#This Row],[value]]/MAX( Table1[[#This Row],[rank_std_dev]], 1), 1)</f>
        <v>0.2</v>
      </c>
    </row>
    <row r="82" spans="1:7" ht="22" x14ac:dyDescent="0.3">
      <c r="A82" s="3" t="s">
        <v>107</v>
      </c>
      <c r="B82" s="4" t="s">
        <v>42</v>
      </c>
      <c r="C82" s="4">
        <v>21.6</v>
      </c>
      <c r="D82" s="4">
        <v>20.8</v>
      </c>
      <c r="E82" s="4">
        <v>3.43</v>
      </c>
      <c r="F82" s="4">
        <v>0.8</v>
      </c>
      <c r="G82" s="4">
        <f>ROUND(Table1[[#This Row],[value]]/MAX( Table1[[#This Row],[rank_std_dev]], 1), 1)</f>
        <v>0.2</v>
      </c>
    </row>
    <row r="83" spans="1:7" ht="22" x14ac:dyDescent="0.3">
      <c r="A83" s="3" t="s">
        <v>90</v>
      </c>
      <c r="B83" s="4" t="s">
        <v>28</v>
      </c>
      <c r="C83" s="4">
        <v>91.6</v>
      </c>
      <c r="D83" s="4">
        <v>88.4</v>
      </c>
      <c r="E83" s="4">
        <v>15.23</v>
      </c>
      <c r="F83" s="4">
        <v>3.2</v>
      </c>
      <c r="G83" s="4">
        <f>ROUND(Table1[[#This Row],[value]]/MAX( Table1[[#This Row],[rank_std_dev]], 1), 1)</f>
        <v>0.2</v>
      </c>
    </row>
    <row r="84" spans="1:7" ht="22" x14ac:dyDescent="0.3">
      <c r="A84" s="3" t="s">
        <v>110</v>
      </c>
      <c r="B84" s="4" t="s">
        <v>33</v>
      </c>
      <c r="C84" s="4">
        <v>5.9</v>
      </c>
      <c r="D84" s="4">
        <v>5.4</v>
      </c>
      <c r="E84" s="4">
        <v>2.42</v>
      </c>
      <c r="F84" s="4">
        <v>0.5</v>
      </c>
      <c r="G84" s="4">
        <f>ROUND(Table1[[#This Row],[value]]/MAX( Table1[[#This Row],[rank_std_dev]], 1), 1)</f>
        <v>0.2</v>
      </c>
    </row>
    <row r="85" spans="1:7" ht="22" x14ac:dyDescent="0.3">
      <c r="A85" s="3" t="s">
        <v>108</v>
      </c>
      <c r="B85" s="4" t="s">
        <v>55</v>
      </c>
      <c r="C85" s="4">
        <v>26.2</v>
      </c>
      <c r="D85" s="4">
        <v>25.4</v>
      </c>
      <c r="E85" s="4">
        <v>4.22</v>
      </c>
      <c r="F85" s="4">
        <v>0.8</v>
      </c>
      <c r="G85" s="4">
        <f>ROUND(Table1[[#This Row],[value]]/MAX( Table1[[#This Row],[rank_std_dev]], 1), 1)</f>
        <v>0.2</v>
      </c>
    </row>
    <row r="86" spans="1:7" ht="22" x14ac:dyDescent="0.3">
      <c r="A86" s="3" t="s">
        <v>89</v>
      </c>
      <c r="B86" s="4" t="s">
        <v>9</v>
      </c>
      <c r="C86" s="4">
        <v>127.7</v>
      </c>
      <c r="D86" s="4">
        <v>124.4</v>
      </c>
      <c r="E86" s="4">
        <v>18.45</v>
      </c>
      <c r="F86" s="4">
        <v>3.3</v>
      </c>
      <c r="G86" s="4">
        <f>ROUND(Table1[[#This Row],[value]]/MAX( Table1[[#This Row],[rank_std_dev]], 1), 1)</f>
        <v>0.2</v>
      </c>
    </row>
    <row r="87" spans="1:7" ht="22" x14ac:dyDescent="0.3">
      <c r="A87" s="3" t="s">
        <v>99</v>
      </c>
      <c r="B87" s="4" t="s">
        <v>16</v>
      </c>
      <c r="C87" s="4">
        <v>61.3</v>
      </c>
      <c r="D87" s="4">
        <v>60</v>
      </c>
      <c r="E87" s="4">
        <v>7.43</v>
      </c>
      <c r="F87" s="4">
        <v>1.3</v>
      </c>
      <c r="G87" s="4">
        <f>ROUND(Table1[[#This Row],[value]]/MAX( Table1[[#This Row],[rank_std_dev]], 1), 1)</f>
        <v>0.2</v>
      </c>
    </row>
    <row r="88" spans="1:7" ht="22" x14ac:dyDescent="0.3">
      <c r="A88" s="3" t="s">
        <v>92</v>
      </c>
      <c r="B88" s="4" t="s">
        <v>9</v>
      </c>
      <c r="C88" s="4">
        <v>28</v>
      </c>
      <c r="D88" s="4">
        <v>25.2</v>
      </c>
      <c r="E88" s="4">
        <v>16.88</v>
      </c>
      <c r="F88" s="4">
        <v>2.8</v>
      </c>
      <c r="G88" s="4">
        <f>ROUND(Table1[[#This Row],[value]]/MAX( Table1[[#This Row],[rank_std_dev]], 1), 1)</f>
        <v>0.2</v>
      </c>
    </row>
    <row r="89" spans="1:7" ht="22" x14ac:dyDescent="0.3">
      <c r="A89" s="3" t="s">
        <v>106</v>
      </c>
      <c r="B89" s="4" t="s">
        <v>7</v>
      </c>
      <c r="C89" s="4">
        <v>19.600000000000001</v>
      </c>
      <c r="D89" s="4">
        <v>18.8</v>
      </c>
      <c r="E89" s="4">
        <v>5.19</v>
      </c>
      <c r="F89" s="4">
        <v>0.8</v>
      </c>
      <c r="G89" s="4">
        <f>ROUND(Table1[[#This Row],[value]]/MAX( Table1[[#This Row],[rank_std_dev]], 1), 1)</f>
        <v>0.2</v>
      </c>
    </row>
    <row r="90" spans="1:7" ht="22" x14ac:dyDescent="0.3">
      <c r="A90" s="3" t="s">
        <v>100</v>
      </c>
      <c r="B90" s="4" t="s">
        <v>16</v>
      </c>
      <c r="C90" s="4">
        <v>63.5</v>
      </c>
      <c r="D90" s="4">
        <v>62.2</v>
      </c>
      <c r="E90" s="4">
        <v>11.44</v>
      </c>
      <c r="F90" s="4">
        <v>1.3</v>
      </c>
      <c r="G90" s="4">
        <f>ROUND(Table1[[#This Row],[value]]/MAX( Table1[[#This Row],[rank_std_dev]], 1), 1)</f>
        <v>0.1</v>
      </c>
    </row>
    <row r="91" spans="1:7" ht="22" x14ac:dyDescent="0.3">
      <c r="A91" s="3" t="s">
        <v>96</v>
      </c>
      <c r="B91" s="4" t="s">
        <v>16</v>
      </c>
      <c r="C91" s="4">
        <v>98.9</v>
      </c>
      <c r="D91" s="4">
        <v>97.2</v>
      </c>
      <c r="E91" s="4">
        <v>15.69</v>
      </c>
      <c r="F91" s="4">
        <v>1.7</v>
      </c>
      <c r="G91" s="4">
        <f>ROUND(Table1[[#This Row],[value]]/MAX( Table1[[#This Row],[rank_std_dev]], 1), 1)</f>
        <v>0.1</v>
      </c>
    </row>
    <row r="92" spans="1:7" ht="22" x14ac:dyDescent="0.3">
      <c r="A92" s="3" t="s">
        <v>113</v>
      </c>
      <c r="B92" s="4" t="s">
        <v>7</v>
      </c>
      <c r="C92" s="4">
        <v>3.1</v>
      </c>
      <c r="D92" s="4">
        <v>3</v>
      </c>
      <c r="E92" s="4">
        <v>0.89</v>
      </c>
      <c r="F92" s="4">
        <v>0.1</v>
      </c>
      <c r="G92" s="4">
        <f>ROUND(Table1[[#This Row],[value]]/MAX( Table1[[#This Row],[rank_std_dev]], 1), 1)</f>
        <v>0.1</v>
      </c>
    </row>
    <row r="93" spans="1:7" ht="22" x14ac:dyDescent="0.3">
      <c r="A93" s="3" t="s">
        <v>105</v>
      </c>
      <c r="B93" s="4" t="s">
        <v>28</v>
      </c>
      <c r="C93" s="4">
        <v>18.399999999999999</v>
      </c>
      <c r="D93" s="4">
        <v>17.600000000000001</v>
      </c>
      <c r="E93" s="4">
        <v>8.16</v>
      </c>
      <c r="F93" s="4">
        <v>0.8</v>
      </c>
      <c r="G93" s="4">
        <f>ROUND(Table1[[#This Row],[value]]/MAX( Table1[[#This Row],[rank_std_dev]], 1), 1)</f>
        <v>0.1</v>
      </c>
    </row>
    <row r="94" spans="1:7" ht="22" x14ac:dyDescent="0.3">
      <c r="A94" s="3" t="s">
        <v>112</v>
      </c>
      <c r="B94" s="4" t="s">
        <v>7</v>
      </c>
      <c r="C94" s="4">
        <v>66.900000000000006</v>
      </c>
      <c r="D94" s="4">
        <v>66.599999999999994</v>
      </c>
      <c r="E94" s="4">
        <v>7.14</v>
      </c>
      <c r="F94" s="4">
        <v>0.3</v>
      </c>
      <c r="G94" s="4">
        <f>ROUND(Table1[[#This Row],[value]]/MAX( Table1[[#This Row],[rank_std_dev]], 1), 1)</f>
        <v>0</v>
      </c>
    </row>
    <row r="95" spans="1:7" ht="22" x14ac:dyDescent="0.3">
      <c r="A95" s="3" t="s">
        <v>104</v>
      </c>
      <c r="B95" s="4" t="s">
        <v>55</v>
      </c>
      <c r="C95" s="4">
        <v>65.099999999999994</v>
      </c>
      <c r="D95" s="4">
        <v>64.2</v>
      </c>
      <c r="E95" s="4">
        <v>33.1</v>
      </c>
      <c r="F95" s="4">
        <v>0.9</v>
      </c>
      <c r="G95" s="4">
        <f>ROUND(Table1[[#This Row],[value]]/MAX( Table1[[#This Row],[rank_std_dev]], 1), 1)</f>
        <v>0</v>
      </c>
    </row>
    <row r="96" spans="1:7" ht="22" x14ac:dyDescent="0.3">
      <c r="A96" s="3" t="s">
        <v>111</v>
      </c>
      <c r="B96" s="4" t="s">
        <v>33</v>
      </c>
      <c r="C96" s="4">
        <v>116.4</v>
      </c>
      <c r="D96" s="4">
        <v>116</v>
      </c>
      <c r="E96" s="4">
        <v>16.04</v>
      </c>
      <c r="F96" s="4">
        <v>0.4</v>
      </c>
      <c r="G96" s="4">
        <f>ROUND(Table1[[#This Row],[value]]/MAX( Table1[[#This Row],[rank_std_dev]], 1), 1)</f>
        <v>0</v>
      </c>
    </row>
    <row r="97" spans="1:7" ht="22" x14ac:dyDescent="0.3">
      <c r="A97" s="3" t="s">
        <v>114</v>
      </c>
      <c r="B97" s="4" t="s">
        <v>28</v>
      </c>
      <c r="C97" s="4">
        <v>84.9</v>
      </c>
      <c r="D97" s="4">
        <v>85</v>
      </c>
      <c r="E97" s="4">
        <v>11.68</v>
      </c>
      <c r="F97" s="4">
        <v>-0.1</v>
      </c>
      <c r="G97" s="4">
        <f>ROUND(Table1[[#This Row],[value]]/MAX( Table1[[#This Row],[rank_std_dev]], 1), 1)</f>
        <v>0</v>
      </c>
    </row>
    <row r="98" spans="1:7" ht="22" x14ac:dyDescent="0.3">
      <c r="A98" s="3" t="s">
        <v>115</v>
      </c>
      <c r="B98" s="4" t="s">
        <v>9</v>
      </c>
      <c r="C98" s="4">
        <v>85.3</v>
      </c>
      <c r="D98" s="4">
        <v>85.4</v>
      </c>
      <c r="E98" s="4">
        <v>9.58</v>
      </c>
      <c r="F98" s="4">
        <v>-0.1</v>
      </c>
      <c r="G98" s="4">
        <f>ROUND(Table1[[#This Row],[value]]/MAX( Table1[[#This Row],[rank_std_dev]], 1), 1)</f>
        <v>0</v>
      </c>
    </row>
    <row r="99" spans="1:7" ht="22" x14ac:dyDescent="0.3">
      <c r="A99" s="3" t="s">
        <v>116</v>
      </c>
      <c r="B99" s="4" t="s">
        <v>9</v>
      </c>
      <c r="C99" s="4">
        <v>26.6</v>
      </c>
      <c r="D99" s="4">
        <v>26.8</v>
      </c>
      <c r="E99" s="4">
        <v>5.91</v>
      </c>
      <c r="F99" s="4">
        <v>-0.2</v>
      </c>
      <c r="G99" s="4">
        <f>ROUND(Table1[[#This Row],[value]]/MAX( Table1[[#This Row],[rank_std_dev]], 1), 1)</f>
        <v>0</v>
      </c>
    </row>
    <row r="100" spans="1:7" ht="22" x14ac:dyDescent="0.3">
      <c r="A100" s="3" t="s">
        <v>117</v>
      </c>
      <c r="B100" s="4" t="s">
        <v>16</v>
      </c>
      <c r="C100" s="4">
        <v>100.6</v>
      </c>
      <c r="D100" s="4">
        <v>101.4</v>
      </c>
      <c r="E100" s="4">
        <v>20.92</v>
      </c>
      <c r="F100" s="4">
        <v>-0.8</v>
      </c>
      <c r="G100" s="4">
        <f>ROUND(Table1[[#This Row],[value]]/MAX( Table1[[#This Row],[rank_std_dev]], 1), 1)</f>
        <v>0</v>
      </c>
    </row>
    <row r="101" spans="1:7" ht="22" x14ac:dyDescent="0.3">
      <c r="A101" s="3" t="s">
        <v>119</v>
      </c>
      <c r="B101" s="4" t="s">
        <v>16</v>
      </c>
      <c r="C101" s="4">
        <v>117.8</v>
      </c>
      <c r="D101" s="4">
        <v>119</v>
      </c>
      <c r="E101" s="4">
        <v>20.43</v>
      </c>
      <c r="F101" s="4">
        <v>-1.2</v>
      </c>
      <c r="G101" s="4">
        <f>ROUND(Table1[[#This Row],[value]]/MAX( Table1[[#This Row],[rank_std_dev]], 1), 1)</f>
        <v>-0.1</v>
      </c>
    </row>
    <row r="102" spans="1:7" ht="22" x14ac:dyDescent="0.3">
      <c r="A102" s="3" t="s">
        <v>125</v>
      </c>
      <c r="B102" s="4" t="s">
        <v>55</v>
      </c>
      <c r="C102" s="4">
        <v>113.9</v>
      </c>
      <c r="D102" s="4">
        <v>116.8</v>
      </c>
      <c r="E102" s="4">
        <v>28.12</v>
      </c>
      <c r="F102" s="4">
        <v>-2.9</v>
      </c>
      <c r="G102" s="4">
        <f>ROUND(Table1[[#This Row],[value]]/MAX( Table1[[#This Row],[rank_std_dev]], 1), 1)</f>
        <v>-0.1</v>
      </c>
    </row>
    <row r="103" spans="1:7" ht="22" x14ac:dyDescent="0.3">
      <c r="A103" s="3" t="s">
        <v>120</v>
      </c>
      <c r="B103" s="4" t="s">
        <v>28</v>
      </c>
      <c r="C103" s="4">
        <v>31.5</v>
      </c>
      <c r="D103" s="4">
        <v>32.799999999999997</v>
      </c>
      <c r="E103" s="4">
        <v>10.24</v>
      </c>
      <c r="F103" s="4">
        <v>-1.3</v>
      </c>
      <c r="G103" s="4">
        <f>ROUND(Table1[[#This Row],[value]]/MAX( Table1[[#This Row],[rank_std_dev]], 1), 1)</f>
        <v>-0.1</v>
      </c>
    </row>
    <row r="104" spans="1:7" ht="22" x14ac:dyDescent="0.3">
      <c r="A104" s="3" t="s">
        <v>122</v>
      </c>
      <c r="B104" s="4" t="s">
        <v>13</v>
      </c>
      <c r="C104" s="4">
        <v>133.30000000000001</v>
      </c>
      <c r="D104" s="4">
        <v>135.19999999999999</v>
      </c>
      <c r="E104" s="4">
        <v>11.23</v>
      </c>
      <c r="F104" s="4">
        <v>-1.9</v>
      </c>
      <c r="G104" s="4">
        <f>ROUND(Table1[[#This Row],[value]]/MAX( Table1[[#This Row],[rank_std_dev]], 1), 1)</f>
        <v>-0.2</v>
      </c>
    </row>
    <row r="105" spans="1:7" ht="22" x14ac:dyDescent="0.3">
      <c r="A105" s="3" t="s">
        <v>129</v>
      </c>
      <c r="B105" s="4" t="s">
        <v>7</v>
      </c>
      <c r="C105" s="4">
        <v>62.8</v>
      </c>
      <c r="D105" s="4">
        <v>67.8</v>
      </c>
      <c r="E105" s="4">
        <v>28.31</v>
      </c>
      <c r="F105" s="4">
        <v>-5</v>
      </c>
      <c r="G105" s="4">
        <f>ROUND(Table1[[#This Row],[value]]/MAX( Table1[[#This Row],[rank_std_dev]], 1), 1)</f>
        <v>-0.2</v>
      </c>
    </row>
    <row r="106" spans="1:7" ht="22" x14ac:dyDescent="0.3">
      <c r="A106" s="3" t="s">
        <v>128</v>
      </c>
      <c r="B106" s="4" t="s">
        <v>9</v>
      </c>
      <c r="C106" s="4">
        <v>112.2</v>
      </c>
      <c r="D106" s="4">
        <v>116.2</v>
      </c>
      <c r="E106" s="4">
        <v>16.559999999999999</v>
      </c>
      <c r="F106" s="4">
        <v>-4</v>
      </c>
      <c r="G106" s="4">
        <f>ROUND(Table1[[#This Row],[value]]/MAX( Table1[[#This Row],[rank_std_dev]], 1), 1)</f>
        <v>-0.2</v>
      </c>
    </row>
    <row r="107" spans="1:7" ht="22" x14ac:dyDescent="0.3">
      <c r="A107" s="3" t="s">
        <v>124</v>
      </c>
      <c r="B107" s="4" t="s">
        <v>28</v>
      </c>
      <c r="C107" s="4">
        <v>31.2</v>
      </c>
      <c r="D107" s="4">
        <v>33.6</v>
      </c>
      <c r="E107" s="4">
        <v>9.6</v>
      </c>
      <c r="F107" s="4">
        <v>-2.4</v>
      </c>
      <c r="G107" s="4">
        <f>ROUND(Table1[[#This Row],[value]]/MAX( Table1[[#This Row],[rank_std_dev]], 1), 1)</f>
        <v>-0.3</v>
      </c>
    </row>
    <row r="108" spans="1:7" ht="22" x14ac:dyDescent="0.3">
      <c r="A108" s="3" t="s">
        <v>131</v>
      </c>
      <c r="B108" s="4" t="s">
        <v>11</v>
      </c>
      <c r="C108" s="4">
        <v>106.4</v>
      </c>
      <c r="D108" s="4">
        <v>111.8</v>
      </c>
      <c r="E108" s="4">
        <v>20.7</v>
      </c>
      <c r="F108" s="4">
        <v>-5.4</v>
      </c>
      <c r="G108" s="4">
        <f>ROUND(Table1[[#This Row],[value]]/MAX( Table1[[#This Row],[rank_std_dev]], 1), 1)</f>
        <v>-0.3</v>
      </c>
    </row>
    <row r="109" spans="1:7" ht="22" x14ac:dyDescent="0.3">
      <c r="A109" s="3" t="s">
        <v>127</v>
      </c>
      <c r="B109" s="4" t="s">
        <v>16</v>
      </c>
      <c r="C109" s="4">
        <v>129.69999999999999</v>
      </c>
      <c r="D109" s="4">
        <v>133.6</v>
      </c>
      <c r="E109" s="4">
        <v>14.49</v>
      </c>
      <c r="F109" s="4">
        <v>-3.9</v>
      </c>
      <c r="G109" s="4">
        <f>ROUND(Table1[[#This Row],[value]]/MAX( Table1[[#This Row],[rank_std_dev]], 1), 1)</f>
        <v>-0.3</v>
      </c>
    </row>
    <row r="110" spans="1:7" ht="22" x14ac:dyDescent="0.3">
      <c r="A110" s="3" t="s">
        <v>121</v>
      </c>
      <c r="B110" s="4" t="s">
        <v>55</v>
      </c>
      <c r="C110" s="4">
        <v>26.4</v>
      </c>
      <c r="D110" s="4">
        <v>28.2</v>
      </c>
      <c r="E110" s="4">
        <v>5.49</v>
      </c>
      <c r="F110" s="4">
        <v>-1.8</v>
      </c>
      <c r="G110" s="4">
        <f>ROUND(Table1[[#This Row],[value]]/MAX( Table1[[#This Row],[rank_std_dev]], 1), 1)</f>
        <v>-0.3</v>
      </c>
    </row>
    <row r="111" spans="1:7" ht="22" x14ac:dyDescent="0.3">
      <c r="A111" s="3" t="s">
        <v>134</v>
      </c>
      <c r="B111" s="4" t="s">
        <v>13</v>
      </c>
      <c r="C111" s="4">
        <v>44.9</v>
      </c>
      <c r="D111" s="4">
        <v>50.8</v>
      </c>
      <c r="E111" s="4">
        <v>15.22</v>
      </c>
      <c r="F111" s="4">
        <v>-5.9</v>
      </c>
      <c r="G111" s="4">
        <f>ROUND(Table1[[#This Row],[value]]/MAX( Table1[[#This Row],[rank_std_dev]], 1), 1)</f>
        <v>-0.4</v>
      </c>
    </row>
    <row r="112" spans="1:7" ht="22" x14ac:dyDescent="0.3">
      <c r="A112" s="3" t="s">
        <v>126</v>
      </c>
      <c r="B112" s="4" t="s">
        <v>9</v>
      </c>
      <c r="C112" s="4">
        <v>136.5</v>
      </c>
      <c r="D112" s="4">
        <v>140.19999999999999</v>
      </c>
      <c r="E112" s="4">
        <v>9.1999999999999993</v>
      </c>
      <c r="F112" s="4">
        <v>-3.7</v>
      </c>
      <c r="G112" s="4">
        <f>ROUND(Table1[[#This Row],[value]]/MAX( Table1[[#This Row],[rank_std_dev]], 1), 1)</f>
        <v>-0.4</v>
      </c>
    </row>
    <row r="113" spans="1:7" ht="22" x14ac:dyDescent="0.3">
      <c r="A113" s="3" t="s">
        <v>138</v>
      </c>
      <c r="B113" s="4" t="s">
        <v>35</v>
      </c>
      <c r="C113" s="4">
        <v>130.69999999999999</v>
      </c>
      <c r="D113" s="4">
        <v>137.4</v>
      </c>
      <c r="E113" s="4">
        <v>16.600000000000001</v>
      </c>
      <c r="F113" s="4">
        <v>-6.7</v>
      </c>
      <c r="G113" s="4">
        <f>ROUND(Table1[[#This Row],[value]]/MAX( Table1[[#This Row],[rank_std_dev]], 1), 1)</f>
        <v>-0.4</v>
      </c>
    </row>
    <row r="114" spans="1:7" ht="22" x14ac:dyDescent="0.3">
      <c r="A114" s="3" t="s">
        <v>133</v>
      </c>
      <c r="B114" s="4" t="s">
        <v>16</v>
      </c>
      <c r="C114" s="4">
        <v>42.9</v>
      </c>
      <c r="D114" s="4">
        <v>48.6</v>
      </c>
      <c r="E114" s="4">
        <v>13.35</v>
      </c>
      <c r="F114" s="4">
        <v>-5.7</v>
      </c>
      <c r="G114" s="4">
        <f>ROUND(Table1[[#This Row],[value]]/MAX( Table1[[#This Row],[rank_std_dev]], 1), 1)</f>
        <v>-0.4</v>
      </c>
    </row>
    <row r="115" spans="1:7" ht="22" x14ac:dyDescent="0.3">
      <c r="A115" s="3" t="s">
        <v>135</v>
      </c>
      <c r="B115" s="4" t="s">
        <v>55</v>
      </c>
      <c r="C115" s="4">
        <v>128</v>
      </c>
      <c r="D115" s="4">
        <v>134</v>
      </c>
      <c r="E115" s="4">
        <v>12.63</v>
      </c>
      <c r="F115" s="4">
        <v>-6</v>
      </c>
      <c r="G115" s="4">
        <f>ROUND(Table1[[#This Row],[value]]/MAX( Table1[[#This Row],[rank_std_dev]], 1), 1)</f>
        <v>-0.5</v>
      </c>
    </row>
    <row r="116" spans="1:7" ht="22" x14ac:dyDescent="0.3">
      <c r="A116" s="3" t="s">
        <v>130</v>
      </c>
      <c r="B116" s="4" t="s">
        <v>42</v>
      </c>
      <c r="C116" s="4">
        <v>38.799999999999997</v>
      </c>
      <c r="D116" s="4">
        <v>44.2</v>
      </c>
      <c r="E116" s="4">
        <v>9.99</v>
      </c>
      <c r="F116" s="4">
        <v>-5.4</v>
      </c>
      <c r="G116" s="4">
        <f>ROUND(Table1[[#This Row],[value]]/MAX( Table1[[#This Row],[rank_std_dev]], 1), 1)</f>
        <v>-0.5</v>
      </c>
    </row>
    <row r="117" spans="1:7" ht="22" x14ac:dyDescent="0.3">
      <c r="A117" s="3" t="s">
        <v>148</v>
      </c>
      <c r="B117" s="4" t="s">
        <v>7</v>
      </c>
      <c r="C117" s="4">
        <v>135.69999999999999</v>
      </c>
      <c r="D117" s="4">
        <v>150.30000000000001</v>
      </c>
      <c r="E117" s="4">
        <v>24.42</v>
      </c>
      <c r="F117" s="4">
        <v>-14.6</v>
      </c>
      <c r="G117" s="4">
        <f>ROUND(Table1[[#This Row],[value]]/MAX( Table1[[#This Row],[rank_std_dev]], 1), 1)</f>
        <v>-0.6</v>
      </c>
    </row>
    <row r="118" spans="1:7" ht="22" x14ac:dyDescent="0.3">
      <c r="A118" s="3" t="s">
        <v>136</v>
      </c>
      <c r="B118" s="4" t="s">
        <v>35</v>
      </c>
      <c r="C118" s="4">
        <v>29.5</v>
      </c>
      <c r="D118" s="4">
        <v>35.799999999999997</v>
      </c>
      <c r="E118" s="4">
        <v>10.38</v>
      </c>
      <c r="F118" s="4">
        <v>-6.3</v>
      </c>
      <c r="G118" s="4">
        <f>ROUND(Table1[[#This Row],[value]]/MAX( Table1[[#This Row],[rank_std_dev]], 1), 1)</f>
        <v>-0.6</v>
      </c>
    </row>
    <row r="119" spans="1:7" ht="22" x14ac:dyDescent="0.3">
      <c r="A119" s="3" t="s">
        <v>149</v>
      </c>
      <c r="B119" s="4" t="s">
        <v>16</v>
      </c>
      <c r="C119" s="4">
        <v>112.5</v>
      </c>
      <c r="D119" s="4">
        <v>128.19999999999999</v>
      </c>
      <c r="E119" s="4">
        <v>25.23</v>
      </c>
      <c r="F119" s="4">
        <v>-15.7</v>
      </c>
      <c r="G119" s="4">
        <f>ROUND(Table1[[#This Row],[value]]/MAX( Table1[[#This Row],[rank_std_dev]], 1), 1)</f>
        <v>-0.6</v>
      </c>
    </row>
    <row r="120" spans="1:7" ht="22" x14ac:dyDescent="0.3">
      <c r="A120" s="3" t="s">
        <v>141</v>
      </c>
      <c r="B120" s="4" t="s">
        <v>28</v>
      </c>
      <c r="C120" s="4">
        <v>55.3</v>
      </c>
      <c r="D120" s="4">
        <v>63.8</v>
      </c>
      <c r="E120" s="4">
        <v>12.83</v>
      </c>
      <c r="F120" s="4">
        <v>-8.5</v>
      </c>
      <c r="G120" s="4">
        <f>ROUND(Table1[[#This Row],[value]]/MAX( Table1[[#This Row],[rank_std_dev]], 1), 1)</f>
        <v>-0.7</v>
      </c>
    </row>
    <row r="121" spans="1:7" ht="22" x14ac:dyDescent="0.3">
      <c r="A121" s="3" t="s">
        <v>154</v>
      </c>
      <c r="B121" s="4" t="s">
        <v>42</v>
      </c>
      <c r="C121" s="4">
        <v>136.30000000000001</v>
      </c>
      <c r="D121" s="4">
        <v>160</v>
      </c>
      <c r="E121" s="4">
        <v>34.21</v>
      </c>
      <c r="F121" s="4">
        <v>-23.7</v>
      </c>
      <c r="G121" s="4">
        <f>ROUND(Table1[[#This Row],[value]]/MAX( Table1[[#This Row],[rank_std_dev]], 1), 1)</f>
        <v>-0.7</v>
      </c>
    </row>
    <row r="122" spans="1:7" ht="22" x14ac:dyDescent="0.3">
      <c r="A122" s="3" t="s">
        <v>143</v>
      </c>
      <c r="B122" s="4" t="s">
        <v>9</v>
      </c>
      <c r="C122" s="4">
        <v>50.7</v>
      </c>
      <c r="D122" s="4">
        <v>59.4</v>
      </c>
      <c r="E122" s="4">
        <v>12.53</v>
      </c>
      <c r="F122" s="4">
        <v>-8.6999999999999993</v>
      </c>
      <c r="G122" s="4">
        <f>ROUND(Table1[[#This Row],[value]]/MAX( Table1[[#This Row],[rank_std_dev]], 1), 1)</f>
        <v>-0.7</v>
      </c>
    </row>
    <row r="123" spans="1:7" ht="22" x14ac:dyDescent="0.3">
      <c r="A123" s="3" t="s">
        <v>147</v>
      </c>
      <c r="B123" s="4" t="s">
        <v>13</v>
      </c>
      <c r="C123" s="4">
        <v>127.6</v>
      </c>
      <c r="D123" s="4">
        <v>141.69999999999999</v>
      </c>
      <c r="E123" s="4">
        <v>18.37</v>
      </c>
      <c r="F123" s="4">
        <v>-14.1</v>
      </c>
      <c r="G123" s="4">
        <f>ROUND(Table1[[#This Row],[value]]/MAX( Table1[[#This Row],[rank_std_dev]], 1), 1)</f>
        <v>-0.8</v>
      </c>
    </row>
    <row r="124" spans="1:7" ht="22" x14ac:dyDescent="0.3">
      <c r="A124" s="3" t="s">
        <v>156</v>
      </c>
      <c r="B124" s="4" t="s">
        <v>7</v>
      </c>
      <c r="C124" s="4">
        <v>136.80000000000001</v>
      </c>
      <c r="D124" s="4">
        <v>162.5</v>
      </c>
      <c r="E124" s="4">
        <v>31.5</v>
      </c>
      <c r="F124" s="4">
        <v>-25.7</v>
      </c>
      <c r="G124" s="4">
        <f>ROUND(Table1[[#This Row],[value]]/MAX( Table1[[#This Row],[rank_std_dev]], 1), 1)</f>
        <v>-0.8</v>
      </c>
    </row>
    <row r="125" spans="1:7" ht="22" x14ac:dyDescent="0.3">
      <c r="A125" s="3" t="s">
        <v>160</v>
      </c>
      <c r="B125" s="4" t="s">
        <v>28</v>
      </c>
      <c r="C125" s="4">
        <v>91.9</v>
      </c>
      <c r="D125" s="4">
        <v>125.8</v>
      </c>
      <c r="E125" s="4">
        <v>38.020000000000003</v>
      </c>
      <c r="F125" s="4">
        <v>-33.9</v>
      </c>
      <c r="G125" s="4">
        <f>ROUND(Table1[[#This Row],[value]]/MAX( Table1[[#This Row],[rank_std_dev]], 1), 1)</f>
        <v>-0.9</v>
      </c>
    </row>
    <row r="126" spans="1:7" ht="22" x14ac:dyDescent="0.3">
      <c r="A126" s="3" t="s">
        <v>144</v>
      </c>
      <c r="B126" s="4" t="s">
        <v>11</v>
      </c>
      <c r="C126" s="4">
        <v>17.899999999999999</v>
      </c>
      <c r="D126" s="4">
        <v>27.6</v>
      </c>
      <c r="E126" s="4">
        <v>10.33</v>
      </c>
      <c r="F126" s="4">
        <v>-9.6999999999999993</v>
      </c>
      <c r="G126" s="4">
        <f>ROUND(Table1[[#This Row],[value]]/MAX( Table1[[#This Row],[rank_std_dev]], 1), 1)</f>
        <v>-0.9</v>
      </c>
    </row>
    <row r="127" spans="1:7" ht="22" x14ac:dyDescent="0.3">
      <c r="A127" s="3" t="s">
        <v>159</v>
      </c>
      <c r="B127" s="4" t="s">
        <v>7</v>
      </c>
      <c r="C127" s="4">
        <v>136.80000000000001</v>
      </c>
      <c r="D127" s="4">
        <v>169.2</v>
      </c>
      <c r="E127" s="4">
        <v>32.76</v>
      </c>
      <c r="F127" s="4">
        <v>-32.4</v>
      </c>
      <c r="G127" s="4">
        <f>ROUND(Table1[[#This Row],[value]]/MAX( Table1[[#This Row],[rank_std_dev]], 1), 1)</f>
        <v>-1</v>
      </c>
    </row>
    <row r="128" spans="1:7" ht="22" x14ac:dyDescent="0.3">
      <c r="A128" s="3" t="s">
        <v>118</v>
      </c>
      <c r="B128" s="4" t="s">
        <v>55</v>
      </c>
      <c r="C128" s="4">
        <v>2.9</v>
      </c>
      <c r="D128" s="4">
        <v>4</v>
      </c>
      <c r="E128" s="4">
        <v>1.1000000000000001</v>
      </c>
      <c r="F128" s="4">
        <v>-1.1000000000000001</v>
      </c>
      <c r="G128" s="4">
        <f>ROUND(Table1[[#This Row],[value]]/MAX( Table1[[#This Row],[rank_std_dev]], 1), 1)</f>
        <v>-1</v>
      </c>
    </row>
    <row r="129" spans="1:7" ht="22" x14ac:dyDescent="0.3">
      <c r="A129" s="3" t="s">
        <v>123</v>
      </c>
      <c r="B129" s="4" t="s">
        <v>52</v>
      </c>
      <c r="C129" s="4">
        <v>7</v>
      </c>
      <c r="D129" s="4">
        <v>9</v>
      </c>
      <c r="E129" s="4">
        <v>1.9</v>
      </c>
      <c r="F129" s="4">
        <v>-2</v>
      </c>
      <c r="G129" s="4">
        <f>ROUND(Table1[[#This Row],[value]]/MAX( Table1[[#This Row],[rank_std_dev]], 1), 1)</f>
        <v>-1.1000000000000001</v>
      </c>
    </row>
    <row r="130" spans="1:7" ht="22" x14ac:dyDescent="0.3">
      <c r="A130" s="3" t="s">
        <v>152</v>
      </c>
      <c r="B130" s="4" t="s">
        <v>42</v>
      </c>
      <c r="C130" s="4">
        <v>119.5</v>
      </c>
      <c r="D130" s="4">
        <v>142.4</v>
      </c>
      <c r="E130" s="4">
        <v>21.41</v>
      </c>
      <c r="F130" s="4">
        <v>-22.9</v>
      </c>
      <c r="G130" s="4">
        <f>ROUND(Table1[[#This Row],[value]]/MAX( Table1[[#This Row],[rank_std_dev]], 1), 1)</f>
        <v>-1.1000000000000001</v>
      </c>
    </row>
    <row r="131" spans="1:7" ht="22" x14ac:dyDescent="0.3">
      <c r="A131" s="3" t="s">
        <v>146</v>
      </c>
      <c r="B131" s="4" t="s">
        <v>33</v>
      </c>
      <c r="C131" s="4">
        <v>132.30000000000001</v>
      </c>
      <c r="D131" s="4">
        <v>144</v>
      </c>
      <c r="E131" s="4">
        <v>10.64</v>
      </c>
      <c r="F131" s="4">
        <v>-11.7</v>
      </c>
      <c r="G131" s="4">
        <f>ROUND(Table1[[#This Row],[value]]/MAX( Table1[[#This Row],[rank_std_dev]], 1), 1)</f>
        <v>-1.1000000000000001</v>
      </c>
    </row>
    <row r="132" spans="1:7" ht="22" x14ac:dyDescent="0.3">
      <c r="A132" s="3" t="s">
        <v>155</v>
      </c>
      <c r="B132" s="4" t="s">
        <v>16</v>
      </c>
      <c r="C132" s="4">
        <v>105</v>
      </c>
      <c r="D132" s="4">
        <v>130.4</v>
      </c>
      <c r="E132" s="4">
        <v>22.4</v>
      </c>
      <c r="F132" s="4">
        <v>-25.4</v>
      </c>
      <c r="G132" s="4">
        <f>ROUND(Table1[[#This Row],[value]]/MAX( Table1[[#This Row],[rank_std_dev]], 1), 1)</f>
        <v>-1.1000000000000001</v>
      </c>
    </row>
    <row r="133" spans="1:7" ht="22" x14ac:dyDescent="0.3">
      <c r="A133" s="3" t="s">
        <v>157</v>
      </c>
      <c r="B133" s="4" t="s">
        <v>13</v>
      </c>
      <c r="C133" s="4">
        <v>54.3</v>
      </c>
      <c r="D133" s="4">
        <v>80.2</v>
      </c>
      <c r="E133" s="4">
        <v>22.72</v>
      </c>
      <c r="F133" s="4">
        <v>-25.9</v>
      </c>
      <c r="G133" s="4">
        <f>ROUND(Table1[[#This Row],[value]]/MAX( Table1[[#This Row],[rank_std_dev]], 1), 1)</f>
        <v>-1.1000000000000001</v>
      </c>
    </row>
    <row r="134" spans="1:7" ht="22" x14ac:dyDescent="0.3">
      <c r="A134" s="3" t="s">
        <v>158</v>
      </c>
      <c r="B134" s="4" t="s">
        <v>16</v>
      </c>
      <c r="C134" s="4">
        <v>136.80000000000001</v>
      </c>
      <c r="D134" s="4">
        <v>166</v>
      </c>
      <c r="E134" s="4">
        <v>25.55</v>
      </c>
      <c r="F134" s="4">
        <v>-29.2</v>
      </c>
      <c r="G134" s="4">
        <f>ROUND(Table1[[#This Row],[value]]/MAX( Table1[[#This Row],[rank_std_dev]], 1), 1)</f>
        <v>-1.1000000000000001</v>
      </c>
    </row>
    <row r="135" spans="1:7" ht="22" x14ac:dyDescent="0.3">
      <c r="A135" s="3" t="s">
        <v>132</v>
      </c>
      <c r="B135" s="4" t="s">
        <v>9</v>
      </c>
      <c r="C135" s="4">
        <v>20.6</v>
      </c>
      <c r="D135" s="4">
        <v>26.2</v>
      </c>
      <c r="E135" s="4">
        <v>4.87</v>
      </c>
      <c r="F135" s="4">
        <v>-5.6</v>
      </c>
      <c r="G135" s="4">
        <f>ROUND(Table1[[#This Row],[value]]/MAX( Table1[[#This Row],[rank_std_dev]], 1), 1)</f>
        <v>-1.1000000000000001</v>
      </c>
    </row>
    <row r="136" spans="1:7" ht="22" x14ac:dyDescent="0.3">
      <c r="A136" s="3" t="s">
        <v>145</v>
      </c>
      <c r="B136" s="4" t="s">
        <v>81</v>
      </c>
      <c r="C136" s="4">
        <v>82</v>
      </c>
      <c r="D136" s="4">
        <v>93</v>
      </c>
      <c r="E136" s="4">
        <v>8.92</v>
      </c>
      <c r="F136" s="4">
        <v>-11</v>
      </c>
      <c r="G136" s="4">
        <f>ROUND(Table1[[#This Row],[value]]/MAX( Table1[[#This Row],[rank_std_dev]], 1), 1)</f>
        <v>-1.2</v>
      </c>
    </row>
    <row r="137" spans="1:7" ht="22" x14ac:dyDescent="0.3">
      <c r="A137" s="3" t="s">
        <v>166</v>
      </c>
      <c r="B137" s="4" t="s">
        <v>35</v>
      </c>
      <c r="C137" s="4">
        <v>136.5</v>
      </c>
      <c r="D137" s="4">
        <v>182.5</v>
      </c>
      <c r="E137" s="4">
        <v>35</v>
      </c>
      <c r="F137" s="4">
        <v>-46</v>
      </c>
      <c r="G137" s="4">
        <f>ROUND(Table1[[#This Row],[value]]/MAX( Table1[[#This Row],[rank_std_dev]], 1), 1)</f>
        <v>-1.3</v>
      </c>
    </row>
    <row r="138" spans="1:7" ht="22" x14ac:dyDescent="0.3">
      <c r="A138" s="3" t="s">
        <v>162</v>
      </c>
      <c r="B138" s="4" t="s">
        <v>28</v>
      </c>
      <c r="C138" s="4">
        <v>134.6</v>
      </c>
      <c r="D138" s="4">
        <v>169.8</v>
      </c>
      <c r="E138" s="4">
        <v>26.6</v>
      </c>
      <c r="F138" s="4">
        <v>-35.200000000000003</v>
      </c>
      <c r="G138" s="4">
        <f>ROUND(Table1[[#This Row],[value]]/MAX( Table1[[#This Row],[rank_std_dev]], 1), 1)</f>
        <v>-1.3</v>
      </c>
    </row>
    <row r="139" spans="1:7" ht="22" x14ac:dyDescent="0.3">
      <c r="A139" s="3" t="s">
        <v>161</v>
      </c>
      <c r="B139" s="4" t="s">
        <v>16</v>
      </c>
      <c r="C139" s="4">
        <v>132.30000000000001</v>
      </c>
      <c r="D139" s="4">
        <v>167.4</v>
      </c>
      <c r="E139" s="4">
        <v>25.66</v>
      </c>
      <c r="F139" s="4">
        <v>-35.1</v>
      </c>
      <c r="G139" s="4">
        <f>ROUND(Table1[[#This Row],[value]]/MAX( Table1[[#This Row],[rank_std_dev]], 1), 1)</f>
        <v>-1.4</v>
      </c>
    </row>
    <row r="140" spans="1:7" ht="22" x14ac:dyDescent="0.3">
      <c r="A140" s="3" t="s">
        <v>140</v>
      </c>
      <c r="B140" s="4" t="s">
        <v>13</v>
      </c>
      <c r="C140" s="4">
        <v>19.8</v>
      </c>
      <c r="D140" s="4">
        <v>27.8</v>
      </c>
      <c r="E140" s="4">
        <v>5.78</v>
      </c>
      <c r="F140" s="4">
        <v>-8</v>
      </c>
      <c r="G140" s="4">
        <f>ROUND(Table1[[#This Row],[value]]/MAX( Table1[[#This Row],[rank_std_dev]], 1), 1)</f>
        <v>-1.4</v>
      </c>
    </row>
    <row r="141" spans="1:7" ht="22" x14ac:dyDescent="0.3">
      <c r="A141" s="3" t="s">
        <v>165</v>
      </c>
      <c r="B141" s="4" t="s">
        <v>7</v>
      </c>
      <c r="C141" s="4">
        <v>106.2</v>
      </c>
      <c r="D141" s="4">
        <v>146.6</v>
      </c>
      <c r="E141" s="4">
        <v>27.3</v>
      </c>
      <c r="F141" s="4">
        <v>-40.4</v>
      </c>
      <c r="G141" s="4">
        <f>ROUND(Table1[[#This Row],[value]]/MAX( Table1[[#This Row],[rank_std_dev]], 1), 1)</f>
        <v>-1.5</v>
      </c>
    </row>
    <row r="142" spans="1:7" ht="22" x14ac:dyDescent="0.3">
      <c r="A142" s="3" t="s">
        <v>139</v>
      </c>
      <c r="B142" s="4" t="s">
        <v>55</v>
      </c>
      <c r="C142" s="4">
        <v>14.6</v>
      </c>
      <c r="D142" s="4">
        <v>21.4</v>
      </c>
      <c r="E142" s="4">
        <v>4.41</v>
      </c>
      <c r="F142" s="4">
        <v>-6.8</v>
      </c>
      <c r="G142" s="4">
        <f>ROUND(Table1[[#This Row],[value]]/MAX( Table1[[#This Row],[rank_std_dev]], 1), 1)</f>
        <v>-1.5</v>
      </c>
    </row>
    <row r="143" spans="1:7" ht="22" x14ac:dyDescent="0.3">
      <c r="A143" s="3" t="s">
        <v>150</v>
      </c>
      <c r="B143" s="4" t="s">
        <v>28</v>
      </c>
      <c r="C143" s="4">
        <v>132.9</v>
      </c>
      <c r="D143" s="4">
        <v>153.6</v>
      </c>
      <c r="E143" s="4">
        <v>13.06</v>
      </c>
      <c r="F143" s="4">
        <v>-20.7</v>
      </c>
      <c r="G143" s="4">
        <f>ROUND(Table1[[#This Row],[value]]/MAX( Table1[[#This Row],[rank_std_dev]], 1), 1)</f>
        <v>-1.6</v>
      </c>
    </row>
    <row r="144" spans="1:7" ht="22" x14ac:dyDescent="0.3">
      <c r="A144" s="3" t="s">
        <v>142</v>
      </c>
      <c r="B144" s="4" t="s">
        <v>13</v>
      </c>
      <c r="C144" s="4">
        <v>30.7</v>
      </c>
      <c r="D144" s="4">
        <v>39.4</v>
      </c>
      <c r="E144" s="4">
        <v>5.46</v>
      </c>
      <c r="F144" s="4">
        <v>-8.6999999999999993</v>
      </c>
      <c r="G144" s="4">
        <f>ROUND(Table1[[#This Row],[value]]/MAX( Table1[[#This Row],[rank_std_dev]], 1), 1)</f>
        <v>-1.6</v>
      </c>
    </row>
    <row r="145" spans="1:7" ht="22" x14ac:dyDescent="0.3">
      <c r="A145" s="3" t="s">
        <v>153</v>
      </c>
      <c r="B145" s="4" t="s">
        <v>28</v>
      </c>
      <c r="C145" s="4">
        <v>134.4</v>
      </c>
      <c r="D145" s="4">
        <v>157.80000000000001</v>
      </c>
      <c r="E145" s="4">
        <v>14.08</v>
      </c>
      <c r="F145" s="4">
        <v>-23.4</v>
      </c>
      <c r="G145" s="4">
        <f>ROUND(Table1[[#This Row],[value]]/MAX( Table1[[#This Row],[rank_std_dev]], 1), 1)</f>
        <v>-1.7</v>
      </c>
    </row>
    <row r="146" spans="1:7" ht="22" x14ac:dyDescent="0.3">
      <c r="A146" s="3" t="s">
        <v>137</v>
      </c>
      <c r="B146" s="4" t="s">
        <v>52</v>
      </c>
      <c r="C146" s="4">
        <v>133.69999999999999</v>
      </c>
      <c r="D146" s="4">
        <v>140</v>
      </c>
      <c r="E146" s="4">
        <v>3.63</v>
      </c>
      <c r="F146" s="4">
        <v>-6.3</v>
      </c>
      <c r="G146" s="4">
        <f>ROUND(Table1[[#This Row],[value]]/MAX( Table1[[#This Row],[rank_std_dev]], 1), 1)</f>
        <v>-1.7</v>
      </c>
    </row>
    <row r="147" spans="1:7" ht="22" x14ac:dyDescent="0.3">
      <c r="A147" s="3" t="s">
        <v>151</v>
      </c>
      <c r="B147" s="4" t="s">
        <v>52</v>
      </c>
      <c r="C147" s="4">
        <v>134.4</v>
      </c>
      <c r="D147" s="4">
        <v>156.30000000000001</v>
      </c>
      <c r="E147" s="4">
        <v>12.4</v>
      </c>
      <c r="F147" s="4">
        <v>-21.9</v>
      </c>
      <c r="G147" s="4">
        <f>ROUND(Table1[[#This Row],[value]]/MAX( Table1[[#This Row],[rank_std_dev]], 1), 1)</f>
        <v>-1.8</v>
      </c>
    </row>
    <row r="148" spans="1:7" ht="22" x14ac:dyDescent="0.3">
      <c r="A148" s="3" t="s">
        <v>163</v>
      </c>
      <c r="B148" s="4" t="s">
        <v>16</v>
      </c>
      <c r="C148" s="4">
        <v>136</v>
      </c>
      <c r="D148" s="4">
        <v>171.5</v>
      </c>
      <c r="E148" s="4">
        <v>8.5</v>
      </c>
      <c r="F148" s="4">
        <v>-35.5</v>
      </c>
      <c r="G148" s="4">
        <f>ROUND(Table1[[#This Row],[value]]/MAX( Table1[[#This Row],[rank_std_dev]], 1), 1)</f>
        <v>-4.2</v>
      </c>
    </row>
    <row r="149" spans="1:7" ht="22" x14ac:dyDescent="0.3">
      <c r="A149" s="3" t="s">
        <v>164</v>
      </c>
      <c r="B149" s="4" t="s">
        <v>16</v>
      </c>
      <c r="C149" s="4">
        <v>132.4</v>
      </c>
      <c r="D149" s="4">
        <v>170</v>
      </c>
      <c r="E149" s="4">
        <v>0</v>
      </c>
      <c r="F149" s="4">
        <v>-37.6</v>
      </c>
      <c r="G149" s="4">
        <f>ROUND(Table1[[#This Row],[value]]/MAX( Table1[[#This Row],[rank_std_dev]], 1), 1)</f>
        <v>-37.6</v>
      </c>
    </row>
    <row r="150" spans="1:7" ht="22" x14ac:dyDescent="0.3">
      <c r="A150" s="3" t="s">
        <v>167</v>
      </c>
      <c r="B150" s="4" t="s">
        <v>55</v>
      </c>
      <c r="C150" s="4">
        <v>137</v>
      </c>
      <c r="D150" s="4">
        <v>205</v>
      </c>
      <c r="E150" s="4">
        <v>0</v>
      </c>
      <c r="F150" s="4">
        <v>-68</v>
      </c>
      <c r="G150" s="4">
        <f>ROUND(Table1[[#This Row],[value]]/MAX( Table1[[#This Row],[rank_std_dev]], 1), 1)</f>
        <v>-68</v>
      </c>
    </row>
    <row r="151" spans="1:7" ht="22" x14ac:dyDescent="0.3">
      <c r="A151" s="3" t="s">
        <v>168</v>
      </c>
      <c r="B151" s="4" t="s">
        <v>52</v>
      </c>
      <c r="C151" s="4">
        <v>136.5</v>
      </c>
      <c r="D151" s="4">
        <v>227</v>
      </c>
      <c r="E151" s="4">
        <v>0</v>
      </c>
      <c r="F151" s="4">
        <v>-90.5</v>
      </c>
      <c r="G151" s="4">
        <f>ROUND(Table1[[#This Row],[value]]/MAX( Table1[[#This Row],[rank_std_dev]], 1), 1)</f>
        <v>-90.5</v>
      </c>
    </row>
  </sheetData>
  <conditionalFormatting sqref="G1:G151">
    <cfRule type="colorScale" priority="1">
      <colorScale>
        <cfvo type="min"/>
        <cfvo type="max"/>
        <color rgb="FFFFEF9C"/>
        <color rgb="FF63BE7B"/>
      </colorScale>
    </cfRule>
  </conditionalFormatting>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AE38F-08C3-6942-BB22-7BC4BD779C92}">
  <dimension ref="A1:B12"/>
  <sheetViews>
    <sheetView showGridLines="0" zoomScale="90" zoomScaleNormal="90" workbookViewId="0">
      <selection activeCell="I23" sqref="I23"/>
    </sheetView>
  </sheetViews>
  <sheetFormatPr baseColWidth="10" defaultRowHeight="16" x14ac:dyDescent="0.2"/>
  <sheetData>
    <row r="1" spans="1:2" ht="29" x14ac:dyDescent="0.35">
      <c r="A1" s="6" t="s">
        <v>170</v>
      </c>
    </row>
    <row r="3" spans="1:2" ht="29" x14ac:dyDescent="0.35">
      <c r="A3" s="6" t="s">
        <v>171</v>
      </c>
    </row>
    <row r="4" spans="1:2" ht="29" x14ac:dyDescent="0.35">
      <c r="A4" s="6" t="s">
        <v>172</v>
      </c>
    </row>
    <row r="5" spans="1:2" x14ac:dyDescent="0.2">
      <c r="A5" s="7"/>
    </row>
    <row r="6" spans="1:2" ht="29" x14ac:dyDescent="0.35">
      <c r="A6" s="6" t="s">
        <v>173</v>
      </c>
      <c r="B6" s="6"/>
    </row>
    <row r="7" spans="1:2" ht="29" x14ac:dyDescent="0.35">
      <c r="A7" s="6" t="s">
        <v>174</v>
      </c>
      <c r="B7" s="6"/>
    </row>
    <row r="9" spans="1:2" ht="29" x14ac:dyDescent="0.35">
      <c r="A9" s="6" t="s">
        <v>175</v>
      </c>
    </row>
    <row r="11" spans="1:2" ht="29" x14ac:dyDescent="0.35">
      <c r="A11" s="6" t="s">
        <v>176</v>
      </c>
    </row>
    <row r="12" spans="1:2" ht="29" x14ac:dyDescent="0.35">
      <c r="A12" s="6" t="s">
        <v>177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Top 50</vt:lpstr>
      <vt:lpstr>full_rankings</vt:lpstr>
      <vt:lpstr>legend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 Michael</dc:creator>
  <cp:lastModifiedBy>Chi, Michael</cp:lastModifiedBy>
  <dcterms:created xsi:type="dcterms:W3CDTF">2026-09-24T20:58:40Z</dcterms:created>
  <dcterms:modified xsi:type="dcterms:W3CDTF">2026-09-25T02:46:48Z</dcterms:modified>
</cp:coreProperties>
</file>